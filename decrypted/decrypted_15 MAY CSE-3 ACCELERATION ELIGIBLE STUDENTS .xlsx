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riharsha/Desktop/"/>
    </mc:Choice>
  </mc:AlternateContent>
  <xr:revisionPtr revIDLastSave="0" documentId="13_ncr:1_{6D315AA2-DA47-4F41-9FF7-AB6412BEAB33}" xr6:coauthVersionLast="47" xr6:coauthVersionMax="47" xr10:uidLastSave="{00000000-0000-0000-0000-000000000000}"/>
  <workbookProtection workbookAlgorithmName="SHA-512" workbookHashValue="iO3jjQGn4tNmbMIOdFr2m0rBgyXNiSa+p2vpJLpxHVBhq2hhIzd8obW1dg3AFktN0KKEwx0+TISUoQFlQUiCGA==" workbookSaltValue="0QsVziuh2Xyr6cEe0JPVsQ==" workbookSpinCount="100000" lockStructure="1"/>
  <bookViews>
    <workbookView xWindow="0" yWindow="660" windowWidth="34560" windowHeight="20140" activeTab="1" xr2:uid="{00000000-000D-0000-FFFF-FFFF00000000}"/>
  </bookViews>
  <sheets>
    <sheet name="198" sheetId="5" state="hidden" r:id="rId1"/>
    <sheet name="CHECK" sheetId="7" r:id="rId2"/>
  </sheets>
  <externalReferences>
    <externalReference r:id="rId3"/>
  </externalReferences>
  <definedNames>
    <definedName name="_xlnm._FilterDatabase" localSheetId="0" hidden="1">'198'!$A$1:$AB$199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7" l="1"/>
  <c r="C12" i="7"/>
  <c r="C11" i="7"/>
  <c r="C10" i="7"/>
  <c r="C9" i="7"/>
  <c r="C8" i="7"/>
  <c r="C7" i="7"/>
  <c r="C6" i="7"/>
  <c r="C5" i="7"/>
  <c r="C4" i="7"/>
  <c r="C3" i="7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74" i="5"/>
  <c r="T17" i="5"/>
  <c r="T18" i="5"/>
  <c r="T19" i="5"/>
  <c r="T20" i="5"/>
  <c r="T21" i="5"/>
  <c r="T22" i="5"/>
  <c r="T16" i="5"/>
  <c r="T24" i="5"/>
  <c r="T25" i="5"/>
  <c r="T23" i="5"/>
  <c r="T27" i="5"/>
  <c r="T28" i="5"/>
  <c r="T26" i="5"/>
  <c r="T30" i="5"/>
  <c r="T31" i="5"/>
  <c r="T29" i="5"/>
  <c r="T32" i="5"/>
  <c r="T34" i="5"/>
  <c r="T35" i="5"/>
  <c r="T36" i="5"/>
  <c r="T37" i="5"/>
  <c r="T38" i="5"/>
  <c r="T33" i="5"/>
  <c r="T39" i="5"/>
  <c r="T41" i="5"/>
  <c r="T176" i="5"/>
  <c r="T43" i="5"/>
  <c r="T44" i="5"/>
  <c r="T45" i="5"/>
  <c r="T40" i="5"/>
  <c r="T42" i="5"/>
  <c r="T48" i="5"/>
  <c r="T49" i="5"/>
  <c r="T50" i="5"/>
  <c r="T46" i="5"/>
  <c r="T47" i="5"/>
  <c r="T53" i="5"/>
  <c r="T54" i="5"/>
  <c r="T55" i="5"/>
  <c r="T56" i="5"/>
  <c r="T51" i="5"/>
  <c r="T58" i="5"/>
  <c r="T59" i="5"/>
  <c r="T60" i="5"/>
  <c r="T61" i="5"/>
  <c r="T62" i="5"/>
  <c r="T63" i="5"/>
  <c r="T64" i="5"/>
  <c r="T65" i="5"/>
  <c r="T66" i="5"/>
  <c r="T52" i="5"/>
  <c r="T68" i="5"/>
  <c r="T69" i="5"/>
  <c r="T70" i="5"/>
  <c r="T71" i="5"/>
  <c r="T57" i="5"/>
  <c r="T67" i="5"/>
  <c r="T160" i="5"/>
  <c r="T72" i="5"/>
  <c r="T73" i="5"/>
  <c r="T74" i="5"/>
  <c r="T78" i="5"/>
  <c r="T79" i="5"/>
  <c r="T161" i="5"/>
  <c r="T179" i="5"/>
  <c r="T82" i="5"/>
  <c r="T83" i="5"/>
  <c r="T84" i="5"/>
  <c r="T85" i="5"/>
  <c r="T75" i="5"/>
  <c r="T167" i="5"/>
  <c r="T88" i="5"/>
  <c r="T89" i="5"/>
  <c r="T90" i="5"/>
  <c r="T91" i="5"/>
  <c r="T92" i="5"/>
  <c r="T76" i="5"/>
  <c r="T94" i="5"/>
  <c r="T77" i="5"/>
  <c r="T96" i="5"/>
  <c r="T97" i="5"/>
  <c r="T80" i="5"/>
  <c r="T99" i="5"/>
  <c r="T100" i="5"/>
  <c r="T101" i="5"/>
  <c r="T102" i="5"/>
  <c r="T103" i="5"/>
  <c r="T104" i="5"/>
  <c r="T81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86" i="5"/>
  <c r="T119" i="5"/>
  <c r="T120" i="5"/>
  <c r="T171" i="5"/>
  <c r="T87" i="5"/>
  <c r="T123" i="5"/>
  <c r="T124" i="5"/>
  <c r="T125" i="5"/>
  <c r="T126" i="5"/>
  <c r="T93" i="5"/>
  <c r="T128" i="5"/>
  <c r="T95" i="5"/>
  <c r="T98" i="5"/>
  <c r="T131" i="5"/>
  <c r="T132" i="5"/>
  <c r="T105" i="5"/>
  <c r="T118" i="5"/>
  <c r="T135" i="5"/>
  <c r="T136" i="5"/>
  <c r="T137" i="5"/>
  <c r="T138" i="5"/>
  <c r="T180" i="5"/>
  <c r="T140" i="5"/>
  <c r="T141" i="5"/>
  <c r="T142" i="5"/>
  <c r="T143" i="5"/>
  <c r="T144" i="5"/>
  <c r="T121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22" i="5"/>
  <c r="T127" i="5"/>
  <c r="T162" i="5"/>
  <c r="T163" i="5"/>
  <c r="T164" i="5"/>
  <c r="T165" i="5"/>
  <c r="T166" i="5"/>
  <c r="T129" i="5"/>
  <c r="T168" i="5"/>
  <c r="T169" i="5"/>
  <c r="T170" i="5"/>
  <c r="T130" i="5"/>
  <c r="T172" i="5"/>
  <c r="T133" i="5"/>
  <c r="T134" i="5"/>
  <c r="T175" i="5"/>
  <c r="T173" i="5"/>
  <c r="T177" i="5"/>
  <c r="T178" i="5"/>
  <c r="T139" i="5"/>
  <c r="T145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74" i="5"/>
  <c r="S17" i="5"/>
  <c r="S18" i="5"/>
  <c r="S19" i="5"/>
  <c r="S20" i="5"/>
  <c r="S21" i="5"/>
  <c r="S22" i="5"/>
  <c r="S16" i="5"/>
  <c r="S24" i="5"/>
  <c r="S25" i="5"/>
  <c r="S23" i="5"/>
  <c r="S27" i="5"/>
  <c r="S28" i="5"/>
  <c r="S26" i="5"/>
  <c r="S30" i="5"/>
  <c r="S31" i="5"/>
  <c r="S29" i="5"/>
  <c r="S32" i="5"/>
  <c r="S34" i="5"/>
  <c r="S35" i="5"/>
  <c r="S36" i="5"/>
  <c r="S37" i="5"/>
  <c r="S38" i="5"/>
  <c r="S33" i="5"/>
  <c r="S39" i="5"/>
  <c r="S41" i="5"/>
  <c r="S176" i="5"/>
  <c r="S43" i="5"/>
  <c r="S44" i="5"/>
  <c r="S45" i="5"/>
  <c r="S40" i="5"/>
  <c r="S42" i="5"/>
  <c r="S48" i="5"/>
  <c r="S49" i="5"/>
  <c r="S50" i="5"/>
  <c r="S46" i="5"/>
  <c r="S47" i="5"/>
  <c r="S53" i="5"/>
  <c r="S54" i="5"/>
  <c r="S55" i="5"/>
  <c r="S56" i="5"/>
  <c r="S51" i="5"/>
  <c r="S58" i="5"/>
  <c r="S59" i="5"/>
  <c r="S60" i="5"/>
  <c r="S61" i="5"/>
  <c r="S62" i="5"/>
  <c r="S63" i="5"/>
  <c r="S64" i="5"/>
  <c r="S65" i="5"/>
  <c r="S66" i="5"/>
  <c r="S52" i="5"/>
  <c r="S68" i="5"/>
  <c r="S69" i="5"/>
  <c r="S70" i="5"/>
  <c r="S71" i="5"/>
  <c r="S57" i="5"/>
  <c r="S67" i="5"/>
  <c r="S160" i="5"/>
  <c r="S72" i="5"/>
  <c r="S73" i="5"/>
  <c r="S74" i="5"/>
  <c r="S78" i="5"/>
  <c r="S79" i="5"/>
  <c r="S161" i="5"/>
  <c r="S179" i="5"/>
  <c r="S82" i="5"/>
  <c r="S83" i="5"/>
  <c r="S84" i="5"/>
  <c r="S85" i="5"/>
  <c r="S75" i="5"/>
  <c r="S167" i="5"/>
  <c r="S88" i="5"/>
  <c r="S89" i="5"/>
  <c r="S90" i="5"/>
  <c r="S91" i="5"/>
  <c r="S92" i="5"/>
  <c r="S76" i="5"/>
  <c r="S94" i="5"/>
  <c r="S77" i="5"/>
  <c r="S96" i="5"/>
  <c r="S97" i="5"/>
  <c r="S80" i="5"/>
  <c r="S99" i="5"/>
  <c r="S100" i="5"/>
  <c r="S101" i="5"/>
  <c r="S102" i="5"/>
  <c r="S103" i="5"/>
  <c r="S104" i="5"/>
  <c r="S81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86" i="5"/>
  <c r="S119" i="5"/>
  <c r="S120" i="5"/>
  <c r="S171" i="5"/>
  <c r="S87" i="5"/>
  <c r="S123" i="5"/>
  <c r="S124" i="5"/>
  <c r="S125" i="5"/>
  <c r="S126" i="5"/>
  <c r="S93" i="5"/>
  <c r="S128" i="5"/>
  <c r="S95" i="5"/>
  <c r="S98" i="5"/>
  <c r="S131" i="5"/>
  <c r="S132" i="5"/>
  <c r="S105" i="5"/>
  <c r="S118" i="5"/>
  <c r="S135" i="5"/>
  <c r="S136" i="5"/>
  <c r="S137" i="5"/>
  <c r="S138" i="5"/>
  <c r="S180" i="5"/>
  <c r="S140" i="5"/>
  <c r="S141" i="5"/>
  <c r="S142" i="5"/>
  <c r="S143" i="5"/>
  <c r="S144" i="5"/>
  <c r="S121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22" i="5"/>
  <c r="S127" i="5"/>
  <c r="S162" i="5"/>
  <c r="S163" i="5"/>
  <c r="S164" i="5"/>
  <c r="S165" i="5"/>
  <c r="S166" i="5"/>
  <c r="S129" i="5"/>
  <c r="S168" i="5"/>
  <c r="S169" i="5"/>
  <c r="S170" i="5"/>
  <c r="S130" i="5"/>
  <c r="S172" i="5"/>
  <c r="S133" i="5"/>
  <c r="S134" i="5"/>
  <c r="S175" i="5"/>
  <c r="S173" i="5"/>
  <c r="S177" i="5"/>
  <c r="S178" i="5"/>
  <c r="S139" i="5"/>
  <c r="S145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" i="5"/>
</calcChain>
</file>

<file path=xl/sharedStrings.xml><?xml version="1.0" encoding="utf-8"?>
<sst xmlns="http://schemas.openxmlformats.org/spreadsheetml/2006/main" count="3537" uniqueCount="684">
  <si>
    <t>ID</t>
  </si>
  <si>
    <t>Start time</t>
  </si>
  <si>
    <t>Completion time</t>
  </si>
  <si>
    <t>Email</t>
  </si>
  <si>
    <t>Name</t>
  </si>
  <si>
    <t>Last modified time</t>
  </si>
  <si>
    <t>Student Roll Number</t>
  </si>
  <si>
    <t>Student Name</t>
  </si>
  <si>
    <t>Department</t>
  </si>
  <si>
    <t>Select Category (Interested in Placement- Choose CRT otherwise Choose Non-CRT)</t>
  </si>
  <si>
    <t>Are you a Day Scholar or Hosteller student?</t>
  </si>
  <si>
    <t>Are you willing to Register for the courses offered during summer term (June 2026) in Acceleration mode? (Classwork Start Date: 25th May 2026)</t>
  </si>
  <si>
    <t>CSE-3</t>
  </si>
  <si>
    <t>CRT (Campus Recruitment Training)</t>
  </si>
  <si>
    <t>Yes</t>
  </si>
  <si>
    <t>Day Scholar</t>
  </si>
  <si>
    <t>Hostller</t>
  </si>
  <si>
    <t>CSE-2</t>
  </si>
  <si>
    <t>2400030335@kluniversity.in</t>
  </si>
  <si>
    <t>GOWDU   DURGA UMA RAM CHARAN TEJA GOWDU   DURGA UMA RAM CHARAN TEJA</t>
  </si>
  <si>
    <t xml:space="preserve">G Durga Uma Ram Charan Teja </t>
  </si>
  <si>
    <t>Non-CRT</t>
  </si>
  <si>
    <t>2400030299@kluniversity.in</t>
  </si>
  <si>
    <t>KONKALA   AKHIL SAI PULLAREDDY KONKALA   AKHIL SAI PULLAREDDY</t>
  </si>
  <si>
    <t>AKHIL SAI PULLAREDDY. KONKALA</t>
  </si>
  <si>
    <t>2400030687@kluniversity.in</t>
  </si>
  <si>
    <t>KAVURU PAVAN CHARAN KAVURU PAVAN CHARAN</t>
  </si>
  <si>
    <t>KAVURU PAVAN CHARAN</t>
  </si>
  <si>
    <t>2400031915@kluniversity.in</t>
  </si>
  <si>
    <t>NALLURI VISHNU SIVA NAGA VARUN NALLURI VISHNU SIVA NAGA VARUN</t>
  </si>
  <si>
    <t>Nalluri Vishnu Siva Naga Varun</t>
  </si>
  <si>
    <t>2400030264@kluniversity.in</t>
  </si>
  <si>
    <t>ATTULURI  LALITHA  SIVA PRIYA ATTULURI  LALITHA  SIVA PRIYA</t>
  </si>
  <si>
    <t>A.Lalitha siva priya</t>
  </si>
  <si>
    <t>2400032574@kluniversity.in</t>
  </si>
  <si>
    <t>BOBBA VINAY REDDY BOBBA VINAY REDDY</t>
  </si>
  <si>
    <t>BOBBA VINAY REDDY</t>
  </si>
  <si>
    <t>2400032682@kluniversity.in</t>
  </si>
  <si>
    <t>UPENDRA BAGGU UPENDRA BAGGU</t>
  </si>
  <si>
    <t>B Upendra</t>
  </si>
  <si>
    <t>2400031633@kluniversity.in</t>
  </si>
  <si>
    <t>SEETHEPALLI LAKSHMI VENKATA SRI HASINI SEETHEPALLI LAKSHMI VENKATA SRI HASINI</t>
  </si>
  <si>
    <t xml:space="preserve">Seethepalli lakshmi venkata Sri hasini </t>
  </si>
  <si>
    <t>2400033029@kluniversity.in</t>
  </si>
  <si>
    <t>MANASWINI LAVETI MANASWINI LAVETI</t>
  </si>
  <si>
    <t>Laveti Manaswini</t>
  </si>
  <si>
    <t>2400030487@kluniversity.in</t>
  </si>
  <si>
    <t>KANIKE VIJAYA RAGHAVENDRA KANIKE VIJAYA RAGHAVENDRA</t>
  </si>
  <si>
    <t xml:space="preserve">KANIKE VIJAYA RAGHAVENDRA </t>
  </si>
  <si>
    <t>2400032843@kluniversity.in</t>
  </si>
  <si>
    <t>NARISETTY RAGHUVEER NARISETTY RAGHUVEER</t>
  </si>
  <si>
    <t>N.Raghuveer</t>
  </si>
  <si>
    <t>2400033341@kluniversity.in</t>
  </si>
  <si>
    <t>K Nandini</t>
  </si>
  <si>
    <t>2400030563@kluniversity.in</t>
  </si>
  <si>
    <t>THAMMISETTY MAHESH BABU THAMMISETTY MAHESH BABU</t>
  </si>
  <si>
    <t>T.MAHESH BABU</t>
  </si>
  <si>
    <t>2400030324@kluniversity.in</t>
  </si>
  <si>
    <t>GOKEDA  MANIKANTA SAI GOKEDA  MANIKANTA SAI</t>
  </si>
  <si>
    <t>GOKEDA MANIKANTA SAI</t>
  </si>
  <si>
    <t>2400031709@kluniversity.in</t>
  </si>
  <si>
    <t>INDURU JASWITHA INDURU JASWITHA</t>
  </si>
  <si>
    <t xml:space="preserve">INDURU JASWITHA </t>
  </si>
  <si>
    <t>2400031250@kluniversity.in</t>
  </si>
  <si>
    <t>THOTA MAHESH THOTA MAHESH</t>
  </si>
  <si>
    <t xml:space="preserve">Thota Mahesh </t>
  </si>
  <si>
    <t>2400030877@kluniversity.in</t>
  </si>
  <si>
    <t>MADAMANCHI DHANVANTH SAI MADAMANCHI DHANVANTH SAI</t>
  </si>
  <si>
    <t>M.Dhanvanthsai</t>
  </si>
  <si>
    <t>2400032832@kluniversity.in</t>
  </si>
  <si>
    <t>SUNKARA PRASANNA LAKSHMI SUNKARA PRASANNA LAKSHMI</t>
  </si>
  <si>
    <t xml:space="preserve">Sunkara Prasanna lakshmi </t>
  </si>
  <si>
    <t>2400033103@kluniversity.in</t>
  </si>
  <si>
    <t>KOTA SANJAY VEERA SWAMY KOTA SANJAY VEERA SWAMY</t>
  </si>
  <si>
    <t xml:space="preserve">Kota Sanjay Veera Swamy </t>
  </si>
  <si>
    <t>2400030466@kluniversity.in</t>
  </si>
  <si>
    <t>KOMIRISETTY TANUJESWARI KOMIRISETTY TANUJESWARI</t>
  </si>
  <si>
    <t xml:space="preserve">KOMIRISETTY TANUJESWARI </t>
  </si>
  <si>
    <t>2400031254@kluniversity.in</t>
  </si>
  <si>
    <t>PADAMATA TARUN TANMAY PADAMATA TARUN TANMAY</t>
  </si>
  <si>
    <t xml:space="preserve">P.TARUN TANMAY </t>
  </si>
  <si>
    <t>2400032586@kluniversity.in</t>
  </si>
  <si>
    <t>ABOTHU LASYA ABOTHU LASYA</t>
  </si>
  <si>
    <t>Abothu Lasya</t>
  </si>
  <si>
    <t>2400031140@kluniversity.in</t>
  </si>
  <si>
    <t>KUNDA SURYA TEJA KUNDA SURYA TEJA</t>
  </si>
  <si>
    <t>K.suryateja</t>
  </si>
  <si>
    <t>2400030957@kluniversity.in</t>
  </si>
  <si>
    <t>KOTHAGUNDLA KIRAN KOTHAGUNDLA KIRAN</t>
  </si>
  <si>
    <t xml:space="preserve">KOTHAGUNDLA KIRAN </t>
  </si>
  <si>
    <t>2400030544@kluniversity.in</t>
  </si>
  <si>
    <t>DHEERAJ SETTI DHEERAJ SETTI</t>
  </si>
  <si>
    <t>SETTI DHEERAJ</t>
  </si>
  <si>
    <t>2400030813@kluniversity.in</t>
  </si>
  <si>
    <t>AVUTHU DURGA BHAVANI AVUTHU DURGA BHAVANI</t>
  </si>
  <si>
    <t xml:space="preserve">A Durga Bhavani </t>
  </si>
  <si>
    <t>2400030527@kluniversity.in</t>
  </si>
  <si>
    <t>YELE MOHAN SAI VAIBHAV YELE MOHAN SAI VAIBHAV</t>
  </si>
  <si>
    <t xml:space="preserve">YELE MOHAN SAI VAIBHAV </t>
  </si>
  <si>
    <t>2400030699@kluniversity.in</t>
  </si>
  <si>
    <t>ANANATHANENI RAKESH ANANATHANENI RAKESH</t>
  </si>
  <si>
    <t>ANANTHANENI RAKESH</t>
  </si>
  <si>
    <t>2400031458@kluniversity.in</t>
  </si>
  <si>
    <t>KONANGI LINGAIAH KONANGI LINGAIAH</t>
  </si>
  <si>
    <t xml:space="preserve">Konangi lingaiah </t>
  </si>
  <si>
    <t>2400031204@kluniversity.in</t>
  </si>
  <si>
    <t>CHINTHALAPATI KOSALANANDA SUGUNA BHARADWAJ CHINTHALAPATI KOSALANANDA SUGUNA BHARADWAJ</t>
  </si>
  <si>
    <t xml:space="preserve">CH.K.S.Bharadwaj </t>
  </si>
  <si>
    <t>2400031255@kluniversity.in</t>
  </si>
  <si>
    <t>MOTHUKURI NIKHIL KARTHIK MOTHUKURI NIKHIL KARTHIK</t>
  </si>
  <si>
    <t>M.NIKHIL KARTHIK</t>
  </si>
  <si>
    <t>2400030994@kluniversity.in</t>
  </si>
  <si>
    <t>HUKUMATHIRAO VENKATA KARTHIK HUKUMATHIRAO VENKATA KARTHIK</t>
  </si>
  <si>
    <t>H.venkata karthik</t>
  </si>
  <si>
    <t>2400030968@kluniversity.in</t>
  </si>
  <si>
    <t>KOMARAGIRI POORVITHA SAI KOMARAGIRI POORVITHA SAI</t>
  </si>
  <si>
    <t>Komaragiri Poorvitha Sai</t>
  </si>
  <si>
    <t>2400030592@kluniversity.in</t>
  </si>
  <si>
    <t>NUNE GIRI PRANEETH NUNE GIRI PRANEETH</t>
  </si>
  <si>
    <t xml:space="preserve">NUNE GIRI PRANEETH </t>
  </si>
  <si>
    <t>2400030891@kluniversity.in</t>
  </si>
  <si>
    <t>PETLA HARSHINI PETLA HARSHINI</t>
  </si>
  <si>
    <t>P.Harshini</t>
  </si>
  <si>
    <t>2400031685@kluniversity.in</t>
  </si>
  <si>
    <t>BANDARU NITYA SRI GOWRI BANDARU NITYA SRI GOWRI</t>
  </si>
  <si>
    <t>Bandaru Nitya Sri Gowri</t>
  </si>
  <si>
    <t>2400031531@kluniversity.in</t>
  </si>
  <si>
    <t>SALADI SATYA BHAVANI SHANKAR SALADI SATYA BHAVANI SHANKAR</t>
  </si>
  <si>
    <t xml:space="preserve">Saladi satya bhavani shankar </t>
  </si>
  <si>
    <t>2400031617@kluniversity.in</t>
  </si>
  <si>
    <t>BHARGHAVI M BHARGHAVI M</t>
  </si>
  <si>
    <t>Bharghavi M</t>
  </si>
  <si>
    <t>2400031375@kluniversity.in</t>
  </si>
  <si>
    <t>ANUMULA VENKATA GIRIDHAR REDDY ANUMULA VENKATA GIRIDHAR REDDY</t>
  </si>
  <si>
    <t>ANUMULA.VENKATA GIRIDHAR REDDY</t>
  </si>
  <si>
    <t>2400032281@kluniversity.in</t>
  </si>
  <si>
    <t>KUPPA RAMYA SREE KUPPA RAMYA SREE</t>
  </si>
  <si>
    <t xml:space="preserve">Kuppa Ramya Sree </t>
  </si>
  <si>
    <t>2400032252@kluniversity.in</t>
  </si>
  <si>
    <t>ALLADA NAMRATHA SRI ALLADA NAMRATHA SRI</t>
  </si>
  <si>
    <t>Namratha Sri Allada</t>
  </si>
  <si>
    <t>2400033168@kluniversity.in</t>
  </si>
  <si>
    <t>LANKIPALLI NAVYA SREE LANKIPALLI NAVYA SREE</t>
  </si>
  <si>
    <t>Navya sree lankipalli</t>
  </si>
  <si>
    <t>2400030113@kluniversity.in</t>
  </si>
  <si>
    <t>REGU  YUVA TEJA REGU  YUVA TEJA</t>
  </si>
  <si>
    <t xml:space="preserve">REGU YUVATEJA </t>
  </si>
  <si>
    <t>2400032542@kluniversity.in</t>
  </si>
  <si>
    <t>BATTU HARI PRIYA BATTU HARI PRIYA</t>
  </si>
  <si>
    <t>Hari Priya Battu</t>
  </si>
  <si>
    <t>2400031218@kluniversity.in</t>
  </si>
  <si>
    <t>INDUKURI AKSHAYA VARMA INDUKURI AKSHAYA VARMA</t>
  </si>
  <si>
    <t>INDUKURI AKSHAYA VARMA</t>
  </si>
  <si>
    <t>2400031500@kluniversity.in</t>
  </si>
  <si>
    <t>PUNURU VENU MADHAV REDDY PUNURU VENU MADHAV REDDY</t>
  </si>
  <si>
    <t>PUNURU VENU MADHAV REDDY</t>
  </si>
  <si>
    <t>2400030190@kluniversity.in</t>
  </si>
  <si>
    <t>ALETI HASINI NAVYA ALETI HASINI NAVYA</t>
  </si>
  <si>
    <t xml:space="preserve">Aleti Hasini Navya </t>
  </si>
  <si>
    <t>2400033225@kluniversity.in</t>
  </si>
  <si>
    <t>V P D JAHNAVI PYLA V P D JAHNAVI PYLA</t>
  </si>
  <si>
    <t xml:space="preserve">V P D Jahnavi Pyla </t>
  </si>
  <si>
    <t>2400030208@kluniversity.in</t>
  </si>
  <si>
    <t>MOTAMARRI  DHANUSH MOTAMARRI  DHANUSH</t>
  </si>
  <si>
    <t xml:space="preserve">M Dhanush </t>
  </si>
  <si>
    <t>2400032261@kluniversity.in</t>
  </si>
  <si>
    <t>MANNEM SASI VEDHAVATHI MANNEM SASI VEDHAVATHI</t>
  </si>
  <si>
    <t xml:space="preserve">Mannem Sasi Vedhavathi </t>
  </si>
  <si>
    <t>2400031491@kluniversity.in</t>
  </si>
  <si>
    <t>JONNALAGADDA ADITYA RAM JONNALAGADDA ADITYA RAM</t>
  </si>
  <si>
    <t xml:space="preserve">JONNALAGADDA ADITYA RAM </t>
  </si>
  <si>
    <t>2400030976@kluniversity.in</t>
  </si>
  <si>
    <t>JUWARIYAH AARA JUWARIYAH AARA</t>
  </si>
  <si>
    <t xml:space="preserve">Juwariyah Aara </t>
  </si>
  <si>
    <t>2400032360@kluniversity.in</t>
  </si>
  <si>
    <t>KHAMMAMPATI SAI SRUTHIKA KHAMMAMPATI SAI SRUTHIKA</t>
  </si>
  <si>
    <t>Khammampati Sai Sruthika</t>
  </si>
  <si>
    <t>2400030020@kluniversity.in</t>
  </si>
  <si>
    <t>YADAMAKANTI  NAVANEETH REDDY YADAMAKANTI  NAVANEETH REDDY</t>
  </si>
  <si>
    <t xml:space="preserve">Yadamakanti Navaneeth Reddy </t>
  </si>
  <si>
    <t>2400031736@kluniversity.in</t>
  </si>
  <si>
    <t>THIGULLA SAI SWAROOP THIGULLA SAI SWAROOP</t>
  </si>
  <si>
    <t xml:space="preserve">T Sai Swaroop </t>
  </si>
  <si>
    <t>2400030725@kluniversity.in</t>
  </si>
  <si>
    <t>KONDRAJU KISHAN DEEP VARMA KONDRAJU KISHAN DEEP VARMA</t>
  </si>
  <si>
    <t>Kishan Varma</t>
  </si>
  <si>
    <t>2400030819@kluniversity.in</t>
  </si>
  <si>
    <t>MOVVA GOPIKA SINDHU MOVVA GOPIKA SINDHU</t>
  </si>
  <si>
    <t>M.GOPIKA SINDHU</t>
  </si>
  <si>
    <t>2400031013@kluniversity.in</t>
  </si>
  <si>
    <t>NIKHILA PAGADALA NIKHILA PAGADALA</t>
  </si>
  <si>
    <t>Pagadala Nikhila</t>
  </si>
  <si>
    <t>2400031407@kluniversity.in</t>
  </si>
  <si>
    <t>KATE SAI LIKHITHA KATE SAI LIKHITHA</t>
  </si>
  <si>
    <t>K. Sai Likhitha</t>
  </si>
  <si>
    <t>2400030010@kluniversity.in</t>
  </si>
  <si>
    <t>PEDDIREDDY  BHARATH KUMAR PEDDIREDDY  BHARATH KUMAR</t>
  </si>
  <si>
    <t>P.Bharath Kumar</t>
  </si>
  <si>
    <t>2400030543@kluniversity.in</t>
  </si>
  <si>
    <t>MEKALA VIVEK VARDHAN MEKALA VIVEK VARDHAN</t>
  </si>
  <si>
    <t xml:space="preserve">Mekala Vivek Vardhan </t>
  </si>
  <si>
    <t>2400030853@kluniversity.in</t>
  </si>
  <si>
    <t>PULIBANDLA ABHINAV PULIBANDLA ABHINAV</t>
  </si>
  <si>
    <t>P. Abhinav</t>
  </si>
  <si>
    <t>2400031248@kluniversity.in</t>
  </si>
  <si>
    <t>YAMALA SURYA KIRAN YAMALA SURYA KIRAN</t>
  </si>
  <si>
    <t>YAMALA SURYA KIRAN</t>
  </si>
  <si>
    <t>2400030812@kluniversity.in</t>
  </si>
  <si>
    <t>OBULAPURAM VENNELA NAIDU OBULAPURAM VENNELA NAIDU</t>
  </si>
  <si>
    <t>Obulapuram Vennela Naidu</t>
  </si>
  <si>
    <t>2400032221@kluniversity.in</t>
  </si>
  <si>
    <t>YATIRAJULA HARIKA YATIRAJULA HARIKA</t>
  </si>
  <si>
    <t>Yatirajula Harika</t>
  </si>
  <si>
    <t>2400032535@kluniversity.in</t>
  </si>
  <si>
    <t>YEKKUDU CHAKRI PRASAD YEKKUDU CHAKRI PRASAD</t>
  </si>
  <si>
    <t xml:space="preserve">YEKKUDU CHAKRI PRASAD </t>
  </si>
  <si>
    <t>2400032249@kluniversity.in</t>
  </si>
  <si>
    <t>GANNIREDDY BHAVYA AKHILA GANNIREDDY BHAVYA AKHILA</t>
  </si>
  <si>
    <t xml:space="preserve">G.Bhavya Akhila </t>
  </si>
  <si>
    <t>2400031300@kluniversity.in</t>
  </si>
  <si>
    <t>SHAIK SHOAIB SHAIK SHOAIB</t>
  </si>
  <si>
    <t>SHAIK SHOAIB</t>
  </si>
  <si>
    <t>2400032407@kluniversity.in</t>
  </si>
  <si>
    <t>KALAGARA PURNA VENKATA SEKHAR KALAGARA PURNA VENKATA SEKHAR</t>
  </si>
  <si>
    <t>KALAGARA PURNA VENKATA SEKHAR</t>
  </si>
  <si>
    <t>2400030336@kluniversity.in</t>
  </si>
  <si>
    <t>KAPAKA  YUKTARAM SRIKAR KAPAKA  YUKTARAM SRIKAR</t>
  </si>
  <si>
    <t>Kapaka Yuktaram Srikar</t>
  </si>
  <si>
    <t>2400030332@kluniversity.in</t>
  </si>
  <si>
    <t>KANTAMANI  NALIN KUMAR KANTAMANI  NALIN KUMAR</t>
  </si>
  <si>
    <t>KANTAMANI NALIN KUMAR</t>
  </si>
  <si>
    <t>2400033151@kluniversity.in</t>
  </si>
  <si>
    <t>CHALLA VENKU REDDY CHALLA VENKU REDDY</t>
  </si>
  <si>
    <t>Challa Venku Reddy</t>
  </si>
  <si>
    <t>2400031561@kluniversity.in</t>
  </si>
  <si>
    <t>GONNABATHULA TEJASWINI GONNABATHULA TEJASWINI</t>
  </si>
  <si>
    <t xml:space="preserve">Gonnabathula Tejaswini </t>
  </si>
  <si>
    <t>2400030267@kluniversity.in</t>
  </si>
  <si>
    <t>SYED  HARSHU SYED  HARSHU</t>
  </si>
  <si>
    <t>SYED HARSHU</t>
  </si>
  <si>
    <t>2400031548@kluniversity.in</t>
  </si>
  <si>
    <t>KALIDINDI PRANATHI SATYA SOWMYA KALIDINDI PRANATHI SATYA SOWMYA</t>
  </si>
  <si>
    <t>K.Pranathi Satya Sowmya</t>
  </si>
  <si>
    <t>2400031542@kluniversity.in</t>
  </si>
  <si>
    <t>KADIYAM UDAYA SRI KADIYAM UDAYA SRI</t>
  </si>
  <si>
    <t>K.Udaya Sri</t>
  </si>
  <si>
    <t>2400032087@kluniversity.in</t>
  </si>
  <si>
    <t>VEMPATI LAXMI HEMALATHA VEMPATI LAXMI HEMALATHA</t>
  </si>
  <si>
    <t xml:space="preserve">V.Laxmi hemalatha </t>
  </si>
  <si>
    <t>2400032051@kluniversity.in</t>
  </si>
  <si>
    <t>VALLABHANI JUHITHA CHOWDARY VALLABHANI JUHITHA CHOWDARY</t>
  </si>
  <si>
    <t>Juhitha Chowdary Vallabhani</t>
  </si>
  <si>
    <t>2400031452@kluniversity.in</t>
  </si>
  <si>
    <t>KOTA GURSHITHA NAIDU KOTA GURSHITHA NAIDU</t>
  </si>
  <si>
    <t xml:space="preserve">KOTA GURSHITHA NAIDU </t>
  </si>
  <si>
    <t>2400031178@kluniversity.in</t>
  </si>
  <si>
    <t>NIDUMUKKALA V SIVA SAI NAGA MANI JAYANTH NIDUMUKKALA V SIVA SAI NAGA MANI JAYANTH</t>
  </si>
  <si>
    <t>N.JAYANTH</t>
  </si>
  <si>
    <t>2400030715@kluniversity.in</t>
  </si>
  <si>
    <t>REPUDI GAYATHRIDEVI REPUDI GAYATHRIDEVI</t>
  </si>
  <si>
    <t>Repudi Gayathri Devi</t>
  </si>
  <si>
    <t>2400030403@kluniversity.in</t>
  </si>
  <si>
    <t>BITRA MOHITH RAMANJULU BITRA MOHITH RAMANJULU</t>
  </si>
  <si>
    <t>B.Mohith Ramanjulu</t>
  </si>
  <si>
    <t>2400030312@kluniversity.in</t>
  </si>
  <si>
    <t>CHILUKURI  AKASH SATYA VENKATA CHOWDARY CHILUKURI  AKASH SATYA VENKATA CHOWDARY</t>
  </si>
  <si>
    <t xml:space="preserve"> CHILUKURI AKASH SATYA VENKATA CHOWDARY</t>
  </si>
  <si>
    <t>2400031008@kluniversity.in</t>
  </si>
  <si>
    <t>MADDUKURI VIDYA NANDH MADDUKURI VIDYA NANDH</t>
  </si>
  <si>
    <t xml:space="preserve">M vidya nandh </t>
  </si>
  <si>
    <t>2400030925@kluniversity.in</t>
  </si>
  <si>
    <t>CHITHALURI VEERA HEMANTH CHITHALURI VEERA HEMANTH</t>
  </si>
  <si>
    <t xml:space="preserve">Ch veerahemanth </t>
  </si>
  <si>
    <t>2400030916@kluniversity.in</t>
  </si>
  <si>
    <t>PONUGOTI NIKHITHA REDDY PONUGOTI NIKHITHA REDDY</t>
  </si>
  <si>
    <t>P.Nikhitha Reddy</t>
  </si>
  <si>
    <t>2400030152@kluniversity.in</t>
  </si>
  <si>
    <t>MADIREDDY   TULASI TANMAYE MADIREDDY   TULASI TANMAYE</t>
  </si>
  <si>
    <t>MADIREDDY TULASI TANMAYE</t>
  </si>
  <si>
    <t>2400030866@kluniversity.in</t>
  </si>
  <si>
    <t>GAJJELA HARI MANIKANTA REDDY GAJJELA HARI MANIKANTA REDDY</t>
  </si>
  <si>
    <t xml:space="preserve">G. Hari ManiKanta Reddy </t>
  </si>
  <si>
    <t>2400031751@kluniversity.in</t>
  </si>
  <si>
    <t>RENUKA RAMKRISHNA RAYA RENUKA RAMKRISHNA RAYA</t>
  </si>
  <si>
    <t>Renuka Raya</t>
  </si>
  <si>
    <t>2400032753@kluniversity.in</t>
  </si>
  <si>
    <t>BADDI CHANDANA BADDI CHANDANA</t>
  </si>
  <si>
    <t>Baddi Chandana</t>
  </si>
  <si>
    <t>2400030670@kluniversity.in</t>
  </si>
  <si>
    <t>GAJULA LAKSHMI SURYA BHANU PRAKASH GAJULA LAKSHMI SURYA BHANU PRAKASH</t>
  </si>
  <si>
    <t>GAJULA LAKSHMI SURYA BHANU PRAKASH</t>
  </si>
  <si>
    <t>2400030863@kluniversity.in</t>
  </si>
  <si>
    <t>NALLIBOINA LOKESH VENKATA SAI NALLIBOINA LOKESH VENKATA SAI</t>
  </si>
  <si>
    <t>N.LOKESH VENKATA SAI</t>
  </si>
  <si>
    <t>2400031757@kluniversity.in</t>
  </si>
  <si>
    <t>TILLAPUDI ESWARI SAI JASMITHA TILLAPUDI ESWARI SAI JASMITHA</t>
  </si>
  <si>
    <t xml:space="preserve">TILLAPUDI ESWARI SAI JASMITHA </t>
  </si>
  <si>
    <t>2400031946@kluniversity.in</t>
  </si>
  <si>
    <t>BALUSU KALYAN RAM BALUSU KALYAN RAM</t>
  </si>
  <si>
    <t>B.KalyanRam</t>
  </si>
  <si>
    <t>2400030588@kluniversity.in</t>
  </si>
  <si>
    <t>MURIKIPUDI ANANYA MURIKIPUDI ANANYA</t>
  </si>
  <si>
    <t>M. Ananya</t>
  </si>
  <si>
    <t>2400032478@kluniversity.in</t>
  </si>
  <si>
    <t>LANKALAPALLI SURYA TEJA LANKALAPALLI SURYA TEJA</t>
  </si>
  <si>
    <t xml:space="preserve">L surya teja </t>
  </si>
  <si>
    <t>2400030092@kluniversity.in</t>
  </si>
  <si>
    <t>CHINTALAPATI  SAI SURYA MUKESH VARMA CHINTALAPATI  SAI SURYA MUKESH VARMA</t>
  </si>
  <si>
    <t>CH.Mukesh Varma</t>
  </si>
  <si>
    <t>2400030018@kluniversity.in</t>
  </si>
  <si>
    <t>BHIMAVARAPU   ROHITH BHIMAVARAPU   ROHITH</t>
  </si>
  <si>
    <t>BHIMAVARAPU ROHITH</t>
  </si>
  <si>
    <t>2400030104@kluniversity.in</t>
  </si>
  <si>
    <t>DHARMIREDDI  ROHITH DHARMIREDDI  ROHITH</t>
  </si>
  <si>
    <t>Dharmireddi Rohith</t>
  </si>
  <si>
    <t>2400031885@kluniversity.in</t>
  </si>
  <si>
    <t>POLISETTY RISHITA POLISETTY RISHITA</t>
  </si>
  <si>
    <t>Rishita</t>
  </si>
  <si>
    <t>2400032056@kluniversity.in</t>
  </si>
  <si>
    <t>PAGUDAKULA NAVEENA PAGUDAKULA NAVEENA</t>
  </si>
  <si>
    <t>Navdena</t>
  </si>
  <si>
    <t>2400031513@kluniversity.in</t>
  </si>
  <si>
    <t>PONNURU YOSHITHA PONNURU YOSHITHA</t>
  </si>
  <si>
    <t>Yoshitha.p</t>
  </si>
  <si>
    <t>2400030818@kluniversity.in</t>
  </si>
  <si>
    <t>PENDELA SAI NIKHIL PENDELA SAI NIKHIL</t>
  </si>
  <si>
    <t>P. SAI NIKHIL</t>
  </si>
  <si>
    <t>2400032455@kluniversity.in</t>
  </si>
  <si>
    <t>PONNAGANTI DEVI SRI ISWARYA PONNAGANTI DEVI SRI ISWARYA</t>
  </si>
  <si>
    <t xml:space="preserve">P. Devi Sri Ishwarya </t>
  </si>
  <si>
    <t>2400031636@kluniversity.in</t>
  </si>
  <si>
    <t>VEPURI ARUN KUMAR VEPURI ARUN KUMAR</t>
  </si>
  <si>
    <t>V. ARUN KUMAR</t>
  </si>
  <si>
    <t>2400032799@kluniversity.in</t>
  </si>
  <si>
    <t>YAKKALI SREEVALLEE YAKKALI SREEVALLEE</t>
  </si>
  <si>
    <t xml:space="preserve">Yakkali Sreevalli </t>
  </si>
  <si>
    <t>2400032287@kluniversity.in</t>
  </si>
  <si>
    <t>MEKA SAHASRA MEKA SAHASRA</t>
  </si>
  <si>
    <t>Meka sahasra</t>
  </si>
  <si>
    <t>2400010046@kluniversity.in</t>
  </si>
  <si>
    <t>GORLA SAI  VARSHA REDDY GORLA SAI  VARSHA REDDY</t>
  </si>
  <si>
    <t>G Sai varsha reddy</t>
  </si>
  <si>
    <t>2400031621@kluniversity.in</t>
  </si>
  <si>
    <t>GURRAM AVINASH GURRAM AVINASH</t>
  </si>
  <si>
    <t xml:space="preserve">Gurram Avinash </t>
  </si>
  <si>
    <t>2400030695@kluniversity.in</t>
  </si>
  <si>
    <t>ALLURI HEMANTH CHOWDARY ALLURI HEMANTH CHOWDARY</t>
  </si>
  <si>
    <t xml:space="preserve">ALLURI HEMANTH CHOWDARY </t>
  </si>
  <si>
    <t>2400032653@kluniversity.in</t>
  </si>
  <si>
    <t>MACHINENI PURNA CHANDU MACHINENI PURNA CHANDU</t>
  </si>
  <si>
    <t>Machineni Purna chandu</t>
  </si>
  <si>
    <t>2400032384@kluniversity.in</t>
  </si>
  <si>
    <t>KAGOLANU RATNA PUJITHA KAGOLANU RATNA PUJITHA</t>
  </si>
  <si>
    <t>K Ratna Pujitha</t>
  </si>
  <si>
    <t>2400030473@kluniversity.in</t>
  </si>
  <si>
    <t>DESABOYINA KESA SAI VARDHAN DESABOYINA KESA SAI VARDHAN</t>
  </si>
  <si>
    <t xml:space="preserve">Desaboyina Kesa sai vardhan </t>
  </si>
  <si>
    <t>2400031035@kluniversity.in</t>
  </si>
  <si>
    <t>BOORA JYOTHISHMANTH JEEVAN BOORA JYOTHISHMANTH JEEVAN</t>
  </si>
  <si>
    <t>Boora Jyothishmanth Jeevan</t>
  </si>
  <si>
    <t>2400032383@kluniversity.in</t>
  </si>
  <si>
    <t>KOTAPOTHULA V N S RAGHUVEER KOTAPOTHULA V N S RAGHUVEER</t>
  </si>
  <si>
    <t xml:space="preserve">KOTAPOTHULA V N S RAGHUVEER </t>
  </si>
  <si>
    <t>2400033070@kluniversity.in</t>
  </si>
  <si>
    <t>ANNAM KARTHIKEYAN ANNAM KARTHIKEYAN</t>
  </si>
  <si>
    <t xml:space="preserve">Annam Karthikeyan </t>
  </si>
  <si>
    <t>2400030497@kluniversity.in</t>
  </si>
  <si>
    <t>MEDASANI KRISHNA CHAITANYA MEDASANI KRISHNA CHAITANYA</t>
  </si>
  <si>
    <t xml:space="preserve">Krishna Chaitanya </t>
  </si>
  <si>
    <t>2400031816@kluniversity.in</t>
  </si>
  <si>
    <t>KANDEPI LAKSHMI SAI RAMA DEEPTHI KANDEPI LAKSHMI SAI RAMA DEEPTHI</t>
  </si>
  <si>
    <t>K.lakshmi sai rama deepthi</t>
  </si>
  <si>
    <t>2400031003@kluniversity.in</t>
  </si>
  <si>
    <t>JAKKAMPUDI AVINASH CHOWDARY JAKKAMPUDI AVINASH CHOWDARY</t>
  </si>
  <si>
    <t>JAKKAMPUDI AVINASH CHOWDARY</t>
  </si>
  <si>
    <t>2400032776@kluniversity.in</t>
  </si>
  <si>
    <t>CHANDAKA ASHA LAHARI CHANDAKA ASHA LAHARI</t>
  </si>
  <si>
    <t>Ch.Asha Lahari</t>
  </si>
  <si>
    <t>2400030407@kluniversity.in</t>
  </si>
  <si>
    <t>PEDDYREDDY VENKATA KRISHNA REDDY PEDDYREDDY VENKATA KRISHNA REDDY</t>
  </si>
  <si>
    <t>peddyreddy venkata krishna reddy</t>
  </si>
  <si>
    <t>2400031959@kluniversity.in</t>
  </si>
  <si>
    <t>YARAMATI TEJA SAI SAMPATH YARAMATI TEJA SAI SAMPATH</t>
  </si>
  <si>
    <t>Y. Teja Sai Sampath</t>
  </si>
  <si>
    <t>2400031149@kluniversity.in</t>
  </si>
  <si>
    <t>RENANGI HARSHA RENANGI HARSHA</t>
  </si>
  <si>
    <t xml:space="preserve"> Renangi Harsha</t>
  </si>
  <si>
    <t>2400031834@kluniversity.in</t>
  </si>
  <si>
    <t>GARREPALLI TEJASHWINI GARREPALLI TEJASHWINI</t>
  </si>
  <si>
    <t xml:space="preserve">G Tejashwini </t>
  </si>
  <si>
    <t>2400032513@kluniversity.in</t>
  </si>
  <si>
    <t>NAGIREDDY VEDA SIVA KUMAR NAGIREDDY VEDA SIVA KUMAR</t>
  </si>
  <si>
    <t>Nagireddy Veda Siva Kumar</t>
  </si>
  <si>
    <t>2400030587@kluniversity.in</t>
  </si>
  <si>
    <t>BANDLA BHARGAVI BANDLA BHARGAVI</t>
  </si>
  <si>
    <t>Bandla Bhargavi</t>
  </si>
  <si>
    <t>2400030274@kluniversity.in</t>
  </si>
  <si>
    <t>SHAIK TANVEER BASHA SHAIK TANVEER BASHA</t>
  </si>
  <si>
    <t xml:space="preserve">Shaik Tanveer Basha </t>
  </si>
  <si>
    <t>2400032414@kluniversity.in</t>
  </si>
  <si>
    <t>VEMULA BADE SUMANTH VEMULA BADE SUMANTH</t>
  </si>
  <si>
    <t>Vemula Bade Sumanth</t>
  </si>
  <si>
    <t>2400031805@kluniversity.in</t>
  </si>
  <si>
    <t>PATHAKOTA HIMA BINDU PATHAKOTA HIMA BINDU</t>
  </si>
  <si>
    <t xml:space="preserve">P. HIMA BINDU </t>
  </si>
  <si>
    <t>2400031926@kluniversity.in</t>
  </si>
  <si>
    <t>BOYINA NAGA BALA NALINI BOYINA NAGA BALA NALINI</t>
  </si>
  <si>
    <t>B. Naga Bala Nalini</t>
  </si>
  <si>
    <t>2400032273@kluniversity.in</t>
  </si>
  <si>
    <t>KAMIREDDY LAKSHMI PRIYA KAMIREDDY LAKSHMI PRIYA</t>
  </si>
  <si>
    <t>K Lakshmipriya</t>
  </si>
  <si>
    <t>2400032968@kluniversity.in</t>
  </si>
  <si>
    <t>PALADUGU GOPI CHANDU PALADUGU GOPI CHANDU</t>
  </si>
  <si>
    <t>P Gopi chandu</t>
  </si>
  <si>
    <t>2400031227@kluniversity.in</t>
  </si>
  <si>
    <t>NALLA ROHITH NALLA ROHITH</t>
  </si>
  <si>
    <t>Nalla Rohith</t>
  </si>
  <si>
    <t>2400030638@kluniversity.in</t>
  </si>
  <si>
    <t>RUDRAMSH REDDY PINGALI RUDRAMSH REDDY PINGALI</t>
  </si>
  <si>
    <t xml:space="preserve">Rudramsh reddy </t>
  </si>
  <si>
    <t>2400032061@kluniversity.in</t>
  </si>
  <si>
    <t>SAMI KISHORE KUMAR SAMI KISHORE KUMAR</t>
  </si>
  <si>
    <t>SAMI KISHORE KUMAR</t>
  </si>
  <si>
    <t>2400032466@kluniversity.in</t>
  </si>
  <si>
    <t>KULLU VENKATA PALLAVI KULLU VENKATA PALLAVI</t>
  </si>
  <si>
    <t xml:space="preserve">K.Venkata Pallavi </t>
  </si>
  <si>
    <t>2400032280@kluniversity.in</t>
  </si>
  <si>
    <t>MAMILLAPALLI VARSHITHA MAMILLAPALLI VARSHITHA</t>
  </si>
  <si>
    <t>M.Varshitha</t>
  </si>
  <si>
    <t>2400031847@kluniversity.in</t>
  </si>
  <si>
    <t>CHALLAGULLA PRAVEEN CHALLAGULLA PRAVEEN</t>
  </si>
  <si>
    <t>Ch.praveen</t>
  </si>
  <si>
    <t>2400032669@kluniversity.in</t>
  </si>
  <si>
    <t>KATRA GADDA DEVESH CHOWDARY KATRA GADDA DEVESH CHOWDARY</t>
  </si>
  <si>
    <t>K.Devesh chowdary</t>
  </si>
  <si>
    <t>2400030259@kluniversity.in</t>
  </si>
  <si>
    <t>YADDALA LAKSHMI PRASANNA YADDALA LAKSHMI PRASANNA</t>
  </si>
  <si>
    <t xml:space="preserve">Yaddala Lakshmi Prasanna </t>
  </si>
  <si>
    <t>2400030260@kluniversity.in</t>
  </si>
  <si>
    <t>DEVARASETTY DIVYA TEJASWINI DEVARASETTY DIVYA TEJASWINI</t>
  </si>
  <si>
    <t xml:space="preserve">D.Divya Tejaswini </t>
  </si>
  <si>
    <t>2400032127@kluniversity.in</t>
  </si>
  <si>
    <t>ADITYA OM PAWAR ADITYA OM PAWAR</t>
  </si>
  <si>
    <t xml:space="preserve">Aditya om pawar </t>
  </si>
  <si>
    <t>2400032010@kluniversity.in</t>
  </si>
  <si>
    <t>LEKKALA HARI CHANDANA PRIYA LEKKALA HARI CHANDANA PRIYA</t>
  </si>
  <si>
    <t xml:space="preserve">L.Hari chandana priya </t>
  </si>
  <si>
    <t>2400032118@kluniversity.in</t>
  </si>
  <si>
    <t>VENKATA SIVA SAI KARTHIK VENKATA SIVA SAI KARTHIK</t>
  </si>
  <si>
    <t>B SAI KARTHIK</t>
  </si>
  <si>
    <t>2400032974@kluniversity.in</t>
  </si>
  <si>
    <t>GUDLA KARTIK GUDLA KARTIK</t>
  </si>
  <si>
    <t>Gudla Kartik</t>
  </si>
  <si>
    <t>2400032312@kluniversity.in</t>
  </si>
  <si>
    <t>BANDI MAHI VEERENDRA BANDI MAHI VEERENDRA</t>
  </si>
  <si>
    <t xml:space="preserve">BANDI MAHI VEERENDRA </t>
  </si>
  <si>
    <t>2400032310@kluniversity.in</t>
  </si>
  <si>
    <t>GUTTIKONDA MAHESHVARDHAN GUTTIKONDA MAHESHVARDHAN</t>
  </si>
  <si>
    <t>G Mahesh Vardhan</t>
  </si>
  <si>
    <t>2400031653@kluniversity.in</t>
  </si>
  <si>
    <t>CHINTHALA SAISUKESH CHINTHALA SAISUKESH</t>
  </si>
  <si>
    <t>CHINTHALA SAISUKESH</t>
  </si>
  <si>
    <t>2400032480@kluniversity.in</t>
  </si>
  <si>
    <t>VALIREDDY BHAVITHA VALIREDDY BHAVITHA</t>
  </si>
  <si>
    <t>Valireddy Bhavitha</t>
  </si>
  <si>
    <t>2400032472@kluniversity.in</t>
  </si>
  <si>
    <t>SHAIK SHABREEN SHAIK SHABREEN</t>
  </si>
  <si>
    <t>Shaik Shabreen</t>
  </si>
  <si>
    <t>2400032362@kluniversity.in</t>
  </si>
  <si>
    <t>PANDILLAPALLI YASASWINI PANDILLAPALLI YASASWINI</t>
  </si>
  <si>
    <t xml:space="preserve">P Yasaswini </t>
  </si>
  <si>
    <t>2400032361@kluniversity.in</t>
  </si>
  <si>
    <t>MORLA AASRITHA MORLA AASRITHA</t>
  </si>
  <si>
    <t>Aasritha Morla</t>
  </si>
  <si>
    <t>2400031680@kluniversity.in</t>
  </si>
  <si>
    <t>BONTHA DINESH REDDY BONTHA DINESH REDDY</t>
  </si>
  <si>
    <t>BONTHA DINESH REDDY</t>
  </si>
  <si>
    <t>2400030061@kluniversity.in</t>
  </si>
  <si>
    <t>BANDA  AKHIL BANDA  AKHIL</t>
  </si>
  <si>
    <t>BANDA AKHIL</t>
  </si>
  <si>
    <t>2400030095@kluniversity.in</t>
  </si>
  <si>
    <t>VINUKONDA  PAVAN KUMAR VINUKONDA  PAVAN KUMAR</t>
  </si>
  <si>
    <t xml:space="preserve">VINUKONDA PAVAN KUMAR </t>
  </si>
  <si>
    <t>2400032155@kluniversity.in</t>
  </si>
  <si>
    <t>SINGAREDDY AMARA SINGAREDDY AMARA</t>
  </si>
  <si>
    <t>S.Amara</t>
  </si>
  <si>
    <t>2400033290@kluniversity.in</t>
  </si>
  <si>
    <t>BOBBILI LAHARIKRISHNARAMALAKSHMI NAGARATNA BOBBILI LAHARIKRISHNARAMALAKSHMI NAGARATNA</t>
  </si>
  <si>
    <t xml:space="preserve"> BOBBILI LAHARIKRISHNARAMALAKSHMI NAGARATNA</t>
  </si>
  <si>
    <t>2400030512@kluniversity.in</t>
  </si>
  <si>
    <t>LEELA SATHWIK DEVARAKONDA LEELA SATHWIK DEVARAKONDA</t>
  </si>
  <si>
    <t xml:space="preserve">Sathwik Devarakonda </t>
  </si>
  <si>
    <t>2400032443@kluniversity.in</t>
  </si>
  <si>
    <t>SIVAPURAM VEDA HASINI SIVAPURAM VEDA HASINI</t>
  </si>
  <si>
    <t>SIVAPURAM VEDA HASINI</t>
  </si>
  <si>
    <t>2400031135@kluniversity.in</t>
  </si>
  <si>
    <t>KATRU SASIDHAR KATRU SASIDHAR</t>
  </si>
  <si>
    <t xml:space="preserve">Katru Sasidhar </t>
  </si>
  <si>
    <t>2400031115@kluniversity.in</t>
  </si>
  <si>
    <t>AKURATHI SIVA RAMA NAGESWARA RAO AKURATHI SIVA RAMA NAGESWARA RAO</t>
  </si>
  <si>
    <t xml:space="preserve">AKURATHI SIVA RAMA NAGESWARA RAO </t>
  </si>
  <si>
    <t>2400031287@kluniversity.in</t>
  </si>
  <si>
    <t>MERUGU VARUN GEETH MERUGU VARUN GEETH</t>
  </si>
  <si>
    <t>MERUGU VARUN GEETH</t>
  </si>
  <si>
    <t>2400030940@kluniversity.in</t>
  </si>
  <si>
    <t>CHINTHALACHERUVU TEJASREE CHINTHALACHERUVU TEJASREE</t>
  </si>
  <si>
    <t>Ch.Teja sree</t>
  </si>
  <si>
    <t>2400030395@kluniversity.in</t>
  </si>
  <si>
    <t>KUCHI BHASKAR RAMA SATYA SRI DATTA SAI KUCHI BHASKAR RAMA SATYA SRI DATTA SAI</t>
  </si>
  <si>
    <t>KUCHI BHASKAR RAMA RAMA SATYA SRI DATTA SAI</t>
  </si>
  <si>
    <t>2400033193@kluniversity.in</t>
  </si>
  <si>
    <t>SABBAVARAPU VINAY SABBAVARAPU VINAY</t>
  </si>
  <si>
    <t xml:space="preserve">SABBAVARAPU VINAY </t>
  </si>
  <si>
    <t>2400030875@kluniversity.in</t>
  </si>
  <si>
    <t>PENUMUCHU DEVENDRANADH PENUMUCHU DEVENDRANADH</t>
  </si>
  <si>
    <t>Devendranadh</t>
  </si>
  <si>
    <t>2400032117@kluniversity.in</t>
  </si>
  <si>
    <t>CHODAVARAPU SASI KUMAR CHODAVARAPU SASI KUMAR</t>
  </si>
  <si>
    <t xml:space="preserve">CHODAVARAPU SASI KUMAR </t>
  </si>
  <si>
    <t>2400032053@kluniversity.in</t>
  </si>
  <si>
    <t>PACHIPALA VENKATA SRI MADHULIKA PACHIPALA VENKATA SRI MADHULIKA</t>
  </si>
  <si>
    <t>PACHIPALA VENKATA SRI MADHULIKA</t>
  </si>
  <si>
    <t>2400032916@kluniversity.in</t>
  </si>
  <si>
    <t>MADINENI YASHASWINI MADINENI YASHASWINI</t>
  </si>
  <si>
    <t xml:space="preserve">Madineni Yashaswini </t>
  </si>
  <si>
    <t>2400031909@kluniversity.in</t>
  </si>
  <si>
    <t>TIRUMALASETTI TANUSRI TIRUMALASETTI TANUSRI</t>
  </si>
  <si>
    <t xml:space="preserve">Tirumalasetti Tanusri </t>
  </si>
  <si>
    <t>2400032122@kluniversity.in</t>
  </si>
  <si>
    <t>MAKINENI HIMA CHAITRA MAKINENI HIMA CHAITRA</t>
  </si>
  <si>
    <t>MAKINENI HIMACHAITRA</t>
  </si>
  <si>
    <t>2400032955@kluniversity.in</t>
  </si>
  <si>
    <t>ADABALA SATYA SAI RAM ADABALA SATYA SAI RAM</t>
  </si>
  <si>
    <t>ADABALA.satya sai ram</t>
  </si>
  <si>
    <t>2400031647@kluniversity.in</t>
  </si>
  <si>
    <t>PUCHALAPALLI SUJITHAREDDY PUCHALAPALLI SUJITHAREDDY</t>
  </si>
  <si>
    <t xml:space="preserve">PUCHALAPALLI SUJITHA REDDY </t>
  </si>
  <si>
    <t>2400032942@kluniversity.in</t>
  </si>
  <si>
    <t>ADDAGIRI MEGANADH ADDAGIRI MEGANADH</t>
  </si>
  <si>
    <t>ADDAGIRI MEGANADH</t>
  </si>
  <si>
    <t>2400031312@kluniversity.in</t>
  </si>
  <si>
    <t>DANNANA DURGA PRASAD DANNANA DURGA PRASAD</t>
  </si>
  <si>
    <t>Dannana durga prasad</t>
  </si>
  <si>
    <t>2400033009@kluniversity.in</t>
  </si>
  <si>
    <t>AMIT SHANKARLAL AGARWAL AMIT SHANKARLAL AGARWAL</t>
  </si>
  <si>
    <t>Amit Agarwal</t>
  </si>
  <si>
    <t>2400031964@kluniversity.in</t>
  </si>
  <si>
    <t>GANGIREDDY TEJASWINI GANGIREDDY TEJASWINI</t>
  </si>
  <si>
    <t>Gangireddy Tejaswini</t>
  </si>
  <si>
    <t>2400032840@kluniversity.in</t>
  </si>
  <si>
    <t>MUKKU DURGA BHAVANI MUKKU DURGA BHAVANI</t>
  </si>
  <si>
    <t>M.Durgabhavani</t>
  </si>
  <si>
    <t>2400031395@kluniversity.in</t>
  </si>
  <si>
    <t>BOBBADI GOWTHAM BOBBADI GOWTHAM</t>
  </si>
  <si>
    <t>BOBBADI GOWTHAM</t>
  </si>
  <si>
    <t>2400031922@kluniversity.in</t>
  </si>
  <si>
    <t>PONDURI S V V THANMAI SARAN PONDURI S V V THANMAI SARAN</t>
  </si>
  <si>
    <t xml:space="preserve">Ponduri thanmai saran </t>
  </si>
  <si>
    <t>2400031424@kluniversity.in</t>
  </si>
  <si>
    <t>GARAPATI TARUN CHOWDARY GARAPATI TARUN CHOWDARY</t>
  </si>
  <si>
    <t>GARAPATI TARUN CHOWDARY</t>
  </si>
  <si>
    <t>2400030434@kluniversity.in</t>
  </si>
  <si>
    <t>TENKA PRIDHVI RAJ TENKA PRIDHVI RAJ</t>
  </si>
  <si>
    <t>Tenka. Prudhvi raj</t>
  </si>
  <si>
    <t>2400032810@kluniversity.in</t>
  </si>
  <si>
    <t>MANDALAPU ASHA SRI MANDALAPU ASHA SRI</t>
  </si>
  <si>
    <t>M .Asha sri</t>
  </si>
  <si>
    <t>2400032124@kluniversity.in</t>
  </si>
  <si>
    <t>VEGESNA UMA NAGA SAI VARSHINI VARMA VEGESNA UMA NAGA SAI VARSHINI VARMA</t>
  </si>
  <si>
    <t>V.U.N.S.Varshini</t>
  </si>
  <si>
    <t>2400031823@kluniversity.in</t>
  </si>
  <si>
    <t>BATNA VISHALI BATNA VISHALI</t>
  </si>
  <si>
    <t>Batna Vishali</t>
  </si>
  <si>
    <t>2400031963@kluniversity.in</t>
  </si>
  <si>
    <t>THOTAKURA NANDA KISHORE THOTAKURA NANDA KISHORE</t>
  </si>
  <si>
    <t xml:space="preserve">T.Nanda kishore </t>
  </si>
  <si>
    <t>2400032922@kluniversity.in</t>
  </si>
  <si>
    <t>KANURI BALAJI SESHA SRI SAI KANURI BALAJI SESHA SRI SAI</t>
  </si>
  <si>
    <t>Balaji sesha sri sai</t>
  </si>
  <si>
    <t>2400032821@kluniversity.in</t>
  </si>
  <si>
    <t>INTY VIKAS RAJ INTY VIKAS RAJ</t>
  </si>
  <si>
    <t xml:space="preserve">Inty Vikas Raj </t>
  </si>
  <si>
    <t>2400030986@kluniversity.in</t>
  </si>
  <si>
    <t>PETETI ABHILASH PETETI ABHILASH</t>
  </si>
  <si>
    <t>PETETI ABHILASH</t>
  </si>
  <si>
    <t>2400033140@kluniversity.in</t>
  </si>
  <si>
    <t>SANIKOMMU PRIYANKA SANIKOMMU PRIYANKA</t>
  </si>
  <si>
    <t>Sanikommu Priyanka</t>
  </si>
  <si>
    <t>2400030931@kluniversity.in</t>
  </si>
  <si>
    <t>SUVADA DILLESH SUVADA DILLESH</t>
  </si>
  <si>
    <t>S Dillesh</t>
  </si>
  <si>
    <t>2400032449@kluniversity.in</t>
  </si>
  <si>
    <t>SHAIK ALTHAF AHAMMAD SHAIK ALTHAF AHAMMAD</t>
  </si>
  <si>
    <t xml:space="preserve">Shaik Althaf Ahammad </t>
  </si>
  <si>
    <t>2400032365@kluniversity.in</t>
  </si>
  <si>
    <t>M DHAMOTHIRAN M DHAMOTHIRAN</t>
  </si>
  <si>
    <t xml:space="preserve">M DHAMOTHIRAN </t>
  </si>
  <si>
    <t>2400032607@kluniversity.in</t>
  </si>
  <si>
    <t>KALAGARA VENKATA RAMAN KALAGARA VENKATA RAMAN</t>
  </si>
  <si>
    <t>Kalagara Venkata Raman</t>
  </si>
  <si>
    <t>2400030776@kluniversity.in</t>
  </si>
  <si>
    <t>CHERUKURI KUSMITHA CHERUKURI KUSMITHA</t>
  </si>
  <si>
    <t>Ch.Kusmitha</t>
  </si>
  <si>
    <t>2400030942@kluniversity.in</t>
  </si>
  <si>
    <t>SANDA SRINATH SANDA SRINATH</t>
  </si>
  <si>
    <t>Sanda Srinath</t>
  </si>
  <si>
    <t>2400030514@kluniversity.in</t>
  </si>
  <si>
    <t>HASINI NUNNA HASINI NUNNA</t>
  </si>
  <si>
    <t>NUNNA HASINI</t>
  </si>
  <si>
    <t>2400031474@kluniversity.in</t>
  </si>
  <si>
    <t>DODDI SAI KUMAR DODDI SAI KUMAR</t>
  </si>
  <si>
    <t>D.saikumar</t>
  </si>
  <si>
    <t>cse-3</t>
  </si>
  <si>
    <t>AI FOR COMPUTATIONAL INTELLIGENCE</t>
  </si>
  <si>
    <t>CLOUD NATIVE APPLICATION ENGINEERING &amp; DEVOPS</t>
  </si>
  <si>
    <t>DATA SCIENCE AND BIG DATA ANALYTICS</t>
  </si>
  <si>
    <t>AI SYSTEMS FOR VISUAL INTELLIGENCE</t>
  </si>
  <si>
    <t>DATA ENGINEERING FOR AI</t>
  </si>
  <si>
    <t>AI AND AUTONOMOUS SYSTEMS</t>
  </si>
  <si>
    <t>GAME DEVELOPMENT AND UX DESIGN</t>
  </si>
  <si>
    <t>CLOUD AND EDGE COMPUTING</t>
  </si>
  <si>
    <t>AI-DRIVEN LANGUAGE TECHNOLOGIES</t>
  </si>
  <si>
    <t>CYBER SECURITY AND BLOCKCHAIN TECHNOLOGY</t>
  </si>
  <si>
    <t>CROSS PLATFORM DEVELOPMENT FRAMEWORKS</t>
  </si>
  <si>
    <t>CLOUD INFRASTRUCTURE DESIGN AND ENGINEERING</t>
  </si>
  <si>
    <t>BLOCKCHAIN ENGINEERING FOR WEB3</t>
  </si>
  <si>
    <t>counsellor</t>
  </si>
  <si>
    <t>Mr. N Mallikharjuna Rao</t>
  </si>
  <si>
    <t xml:space="preserve">Mr.R.Vijay </t>
  </si>
  <si>
    <t>Dr. Prerna Mohit</t>
  </si>
  <si>
    <t>Dr.Rajiv Jetson</t>
  </si>
  <si>
    <t>Mrs.K. Jyothsna Devi</t>
  </si>
  <si>
    <t>Mr. Ravinuthala Pavan Kumar</t>
  </si>
  <si>
    <t>Dr.K.V.V.Satyanarayana</t>
  </si>
  <si>
    <t>Ms. P. Anusha</t>
  </si>
  <si>
    <t xml:space="preserve">Dr. P. V. Venkateswara Rao </t>
  </si>
  <si>
    <t>Dr. Mukkapati Naveen</t>
  </si>
  <si>
    <t>Dr. Saziya Tabbasum </t>
  </si>
  <si>
    <t xml:space="preserve">Ms. A. Sasi Hima Bindu </t>
  </si>
  <si>
    <t>Dr.ANITHA RANI.PALAKAYALA</t>
  </si>
  <si>
    <t>Mr. R Ranjith Kumar</t>
  </si>
  <si>
    <t xml:space="preserve">Mr. Seelam Visweswara Rao </t>
  </si>
  <si>
    <t>Dr.Tata Ravi Kumar</t>
  </si>
  <si>
    <t>Dr.Panguluri Padmavathi</t>
  </si>
  <si>
    <t>Mr. Stalin Babu Jalli  </t>
  </si>
  <si>
    <t>Dr.T.Vamsidhar</t>
  </si>
  <si>
    <t>Ch Phanikanth</t>
  </si>
  <si>
    <t>Dr. Saiyed Faiayaz Waris</t>
  </si>
  <si>
    <t>Ms.Shaiksanjeera</t>
  </si>
  <si>
    <t xml:space="preserve">Dr.N. Srinivasu </t>
  </si>
  <si>
    <t>Dr. A Senthil (Hod) (Admin)</t>
  </si>
  <si>
    <t>Dr.Sanjeev Kumar</t>
  </si>
  <si>
    <t>Dr.Rajarajeswari  Pothuraju</t>
  </si>
  <si>
    <t>Backlogs count</t>
  </si>
  <si>
    <t>Backlog courses</t>
  </si>
  <si>
    <t>Specialization</t>
  </si>
  <si>
    <t>Eligible for Acceleration</t>
  </si>
  <si>
    <t>Acceleration</t>
  </si>
  <si>
    <t>2-2 semester registered course</t>
  </si>
  <si>
    <t>2-2 course name</t>
  </si>
  <si>
    <t>acceleration choice1</t>
  </si>
  <si>
    <t>acceleration choice3</t>
  </si>
  <si>
    <t>acceleration2course code</t>
  </si>
  <si>
    <t>acceleration1 course code</t>
  </si>
  <si>
    <t>24CS2237F</t>
  </si>
  <si>
    <t>QUANTUM COMPUTING</t>
  </si>
  <si>
    <t>24CS2255F</t>
  </si>
  <si>
    <t>ADVANCED DATA STRUCTURES</t>
  </si>
  <si>
    <t>24CS2227F</t>
  </si>
  <si>
    <t>DATA ANALYTICS AND VISUALIZATION</t>
  </si>
  <si>
    <t>course code</t>
  </si>
  <si>
    <t>acceleration4 choice</t>
  </si>
  <si>
    <t>24CS2263F</t>
  </si>
  <si>
    <t>CYBER THREAT INTELLIGENCE</t>
  </si>
  <si>
    <t>acceleration2  choice</t>
  </si>
  <si>
    <t>24CS2224F</t>
  </si>
  <si>
    <t>CRYPT ANALYSIS AND CYBER DEFENCE</t>
  </si>
  <si>
    <t>QUANTUM TECHNOLOGIES-ai</t>
  </si>
  <si>
    <t>Department of CSE-3 - Acceleration Eligibile List</t>
  </si>
  <si>
    <t>CGPA</t>
  </si>
  <si>
    <t>Previous semester
2-2 semester registered course</t>
  </si>
  <si>
    <t>Previous semester
2-2 course name</t>
  </si>
  <si>
    <t xml:space="preserve">NOTE- Please check your previous semester Flexi Core registration and register for a different Flexi Core course as per the Flexi Core table.
</t>
  </si>
  <si>
    <t>&lt;&lt;Enter Your Roll Number&gt;&gt;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</si>
</sst>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8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5B9BD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5B9BD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5B9BD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1" fillId="5" borderId="1" xfId="0" applyFont="1" applyFill="1" applyBorder="1"/>
    <xf numFmtId="0" fontId="1" fillId="5" borderId="3" xfId="0" applyFont="1" applyFill="1" applyBorder="1"/>
    <xf numFmtId="0" fontId="4" fillId="6" borderId="2" xfId="0" applyFont="1" applyFill="1" applyBorder="1" applyAlignment="1">
      <alignment vertical="center"/>
    </xf>
    <xf numFmtId="164" fontId="4" fillId="6" borderId="4" xfId="0" applyNumberFormat="1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vertical="center" wrapText="1"/>
    </xf>
    <xf numFmtId="0" fontId="1" fillId="5" borderId="0" xfId="0" applyFont="1" applyFill="1"/>
    <xf numFmtId="0" fontId="3" fillId="2" borderId="0" xfId="0" applyFont="1" applyFill="1" applyAlignment="1">
      <alignment horizontal="center"/>
    </xf>
    <xf numFmtId="0" fontId="1" fillId="5" borderId="6" xfId="0" applyFont="1" applyFill="1" applyBorder="1"/>
    <xf numFmtId="0" fontId="0" fillId="2" borderId="5" xfId="0" applyFill="1" applyBorder="1"/>
    <xf numFmtId="0" fontId="6" fillId="2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6" fillId="2" borderId="0" xfId="0" applyFont="1" applyFill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5FD87D0E-5199-5ECE-370E-F65B8EC0F2C3}"/>
            </a:ext>
          </a:extLst>
        </xdr:cNvPr>
        <xdr:cNvSpPr>
          <a:spLocks noChangeAspect="1" noChangeArrowheads="1"/>
        </xdr:cNvSpPr>
      </xdr:nvSpPr>
      <xdr:spPr bwMode="auto">
        <a:xfrm>
          <a:off x="107061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88900</xdr:colOff>
      <xdr:row>0</xdr:row>
      <xdr:rowOff>596900</xdr:rowOff>
    </xdr:from>
    <xdr:to>
      <xdr:col>14</xdr:col>
      <xdr:colOff>711200</xdr:colOff>
      <xdr:row>13</xdr:row>
      <xdr:rowOff>609600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C3C29-EFF4-9EA2-5726-78E0ED3A4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0" y="596900"/>
          <a:ext cx="9702800" cy="7988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tudentRegisteredCoursesList_1778825217.xls" TargetMode="External"/><Relationship Id="rId2" Type="http://schemas.openxmlformats.org/officeDocument/2006/relationships/externalLinkPath" Target="/Users/sriharsha/Downloads/StudentRegisteredCoursesList_1778825217.xls" TargetMode="External"/><Relationship Id="rId1" Type="http://schemas.openxmlformats.org/officeDocument/2006/relationships/externalLinkPath" Target="/Users/sriharsha/Downloads/StudentRegisteredCoursesList_17788252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dentRegisteredCoursesList_17"/>
      <sheetName val="fc"/>
    </sheetNames>
    <sheetDataSet>
      <sheetData sheetId="0"/>
      <sheetData sheetId="1">
        <row r="2">
          <cell r="B2">
            <v>2400033374</v>
          </cell>
          <cell r="C2" t="str">
            <v xml:space="preserve">OSAMA SALIH HUSSEIN  IBRAHIM </v>
          </cell>
          <cell r="D2" t="str">
            <v>24CS2255F</v>
          </cell>
          <cell r="E2" t="str">
            <v>L</v>
          </cell>
          <cell r="F2" t="str">
            <v>ADVANCED DATA STRUCTURES</v>
          </cell>
        </row>
        <row r="3">
          <cell r="B3">
            <v>2400033372</v>
          </cell>
          <cell r="C3" t="str">
            <v xml:space="preserve">NEELA  VEERANJANEYA  LIKITH </v>
          </cell>
          <cell r="D3" t="str">
            <v>24CS2239F</v>
          </cell>
          <cell r="E3" t="str">
            <v>L</v>
          </cell>
          <cell r="F3" t="str">
            <v>SOFTWARE VERIFICATION AND VALIDATION</v>
          </cell>
        </row>
        <row r="4">
          <cell r="B4">
            <v>2400033370</v>
          </cell>
          <cell r="C4" t="str">
            <v>PUJARI  HEMENDHAR</v>
          </cell>
          <cell r="D4" t="str">
            <v>24CS2255F</v>
          </cell>
          <cell r="E4" t="str">
            <v>L</v>
          </cell>
          <cell r="F4" t="str">
            <v>ADVANCED DATA STRUCTURES</v>
          </cell>
        </row>
        <row r="5">
          <cell r="B5">
            <v>2400033368</v>
          </cell>
          <cell r="C5" t="str">
            <v>SHILPIREDDY VENKATA HARSHA VARDHAN REDDY</v>
          </cell>
          <cell r="D5" t="str">
            <v>24CS2227F</v>
          </cell>
          <cell r="E5" t="str">
            <v>L</v>
          </cell>
          <cell r="F5" t="str">
            <v>DATA ANALYTICS AND VISUALIZATION</v>
          </cell>
        </row>
        <row r="6">
          <cell r="B6">
            <v>2400033355</v>
          </cell>
          <cell r="C6" t="str">
            <v>VALLETI  AKSHAYA</v>
          </cell>
          <cell r="D6" t="str">
            <v>24CS2237F</v>
          </cell>
          <cell r="E6" t="str">
            <v>L</v>
          </cell>
          <cell r="F6" t="str">
            <v>QUANTUM COMPUTING</v>
          </cell>
        </row>
        <row r="7">
          <cell r="B7">
            <v>2400033353</v>
          </cell>
          <cell r="C7" t="str">
            <v>MOHAMMED AYAZ AHMED</v>
          </cell>
          <cell r="D7" t="str">
            <v>24CS2256F</v>
          </cell>
          <cell r="E7" t="str">
            <v>L</v>
          </cell>
          <cell r="F7" t="str">
            <v>FOUNDATIONS OF BLOCK CHAIN ENGINEERING</v>
          </cell>
        </row>
        <row r="8">
          <cell r="B8">
            <v>2400033349</v>
          </cell>
          <cell r="C8" t="str">
            <v>SUMAN KUMAR SAH</v>
          </cell>
          <cell r="D8" t="str">
            <v>24CS2255F</v>
          </cell>
          <cell r="E8" t="str">
            <v>L</v>
          </cell>
          <cell r="F8" t="str">
            <v>ADVANCED DATA STRUCTURES</v>
          </cell>
        </row>
        <row r="9">
          <cell r="B9">
            <v>2400033347</v>
          </cell>
          <cell r="C9" t="str">
            <v xml:space="preserve">GUNUPUDI  SAI SUDHARSHAN </v>
          </cell>
          <cell r="D9" t="str">
            <v>24CS2256F</v>
          </cell>
          <cell r="E9" t="str">
            <v>L</v>
          </cell>
          <cell r="F9" t="str">
            <v>FOUNDATIONS OF BLOCK CHAIN ENGINEERING</v>
          </cell>
        </row>
        <row r="10">
          <cell r="B10">
            <v>2400033343</v>
          </cell>
          <cell r="C10" t="str">
            <v>PREM  SAI ARAJA</v>
          </cell>
          <cell r="D10" t="str">
            <v>24CS2256F</v>
          </cell>
          <cell r="E10" t="str">
            <v>L</v>
          </cell>
          <cell r="F10" t="str">
            <v>FOUNDATIONS OF BLOCK CHAIN ENGINEERING</v>
          </cell>
        </row>
        <row r="11">
          <cell r="B11">
            <v>2400033341</v>
          </cell>
          <cell r="C11" t="str">
            <v>KARNAM  NANDINI</v>
          </cell>
          <cell r="D11" t="str">
            <v>24CS2255F</v>
          </cell>
          <cell r="E11" t="str">
            <v>L</v>
          </cell>
          <cell r="F11" t="str">
            <v>ADVANCED DATA STRUCTURES</v>
          </cell>
        </row>
        <row r="12">
          <cell r="B12">
            <v>2400033333</v>
          </cell>
          <cell r="C12" t="str">
            <v>DODDA SHARATH  CHANDRA</v>
          </cell>
          <cell r="D12" t="str">
            <v>24CS2255F</v>
          </cell>
          <cell r="E12" t="str">
            <v>L</v>
          </cell>
          <cell r="F12" t="str">
            <v>ADVANCED DATA STRUCTURES</v>
          </cell>
        </row>
        <row r="13">
          <cell r="B13">
            <v>2400033332</v>
          </cell>
          <cell r="C13" t="str">
            <v>GOLUGURI SATYA SIVA SRI PAVANA SUBBIREDDY</v>
          </cell>
          <cell r="D13" t="str">
            <v>24CS2237F</v>
          </cell>
          <cell r="E13" t="str">
            <v>L</v>
          </cell>
          <cell r="F13" t="str">
            <v>QUANTUM COMPUTING</v>
          </cell>
        </row>
        <row r="14">
          <cell r="B14">
            <v>2400033329</v>
          </cell>
          <cell r="C14" t="str">
            <v>AYUSHI  KINTALI</v>
          </cell>
          <cell r="D14" t="str">
            <v>24EE2230F</v>
          </cell>
          <cell r="E14" t="str">
            <v>L</v>
          </cell>
          <cell r="F14" t="str">
            <v>ESSENTIALS OF AUTONOMOUS SYSTEMS</v>
          </cell>
        </row>
        <row r="15">
          <cell r="B15">
            <v>2400033327</v>
          </cell>
          <cell r="C15" t="str">
            <v>SAPIREDDY  MOHAN SAI CHANDRA SEKHAR</v>
          </cell>
          <cell r="D15" t="str">
            <v>24CS2258F</v>
          </cell>
          <cell r="E15" t="str">
            <v>L</v>
          </cell>
          <cell r="F15" t="str">
            <v>NATURAL LANGUAGE PROCESSING</v>
          </cell>
        </row>
        <row r="16">
          <cell r="B16">
            <v>2400033324</v>
          </cell>
          <cell r="C16" t="str">
            <v>SUMIT KUMAR TIWARI</v>
          </cell>
          <cell r="D16" t="str">
            <v>24CS2227F</v>
          </cell>
          <cell r="E16" t="str">
            <v>L</v>
          </cell>
          <cell r="F16" t="str">
            <v>DATA ANALYTICS AND VISUALIZATION</v>
          </cell>
        </row>
        <row r="17">
          <cell r="B17">
            <v>2400033320</v>
          </cell>
          <cell r="C17" t="str">
            <v>RACHAKONDA SAI VARSHINI</v>
          </cell>
          <cell r="D17" t="str">
            <v>24CS2221F</v>
          </cell>
          <cell r="E17" t="str">
            <v>L</v>
          </cell>
          <cell r="F17" t="str">
            <v>UX DESIGN</v>
          </cell>
        </row>
        <row r="18">
          <cell r="B18">
            <v>2400033313</v>
          </cell>
          <cell r="C18" t="str">
            <v>HARITHA  GOGULA</v>
          </cell>
          <cell r="D18" t="str">
            <v>24CS2256F</v>
          </cell>
          <cell r="E18" t="str">
            <v>L</v>
          </cell>
          <cell r="F18" t="str">
            <v>FOUNDATIONS OF BLOCK CHAIN ENGINEERING</v>
          </cell>
        </row>
        <row r="19">
          <cell r="B19">
            <v>2400033311</v>
          </cell>
          <cell r="C19" t="str">
            <v>RAVULAPALLI   SANDIP</v>
          </cell>
          <cell r="D19" t="str">
            <v>24CS2264F</v>
          </cell>
          <cell r="E19" t="str">
            <v>L</v>
          </cell>
          <cell r="F19" t="str">
            <v>GAME SYSTEMS DESIGN AND DEVELOPMENT</v>
          </cell>
        </row>
        <row r="20">
          <cell r="B20">
            <v>2400033308</v>
          </cell>
          <cell r="C20" t="str">
            <v>GAURAV  KUMAR</v>
          </cell>
          <cell r="D20" t="str">
            <v>24CS2260F</v>
          </cell>
          <cell r="E20" t="str">
            <v>L</v>
          </cell>
          <cell r="F20" t="str">
            <v>FOUNDATIONS OF CLOUD-NATIVE COMPUTING &amp; DEVOPS</v>
          </cell>
        </row>
        <row r="21">
          <cell r="B21">
            <v>2400033296</v>
          </cell>
          <cell r="C21" t="str">
            <v>NAGADESI  SUDEEP</v>
          </cell>
          <cell r="D21" t="str">
            <v>24CS2260F</v>
          </cell>
          <cell r="E21" t="str">
            <v>L</v>
          </cell>
          <cell r="F21" t="str">
            <v>FOUNDATIONS OF CLOUD-NATIVE COMPUTING &amp; DEVOPS</v>
          </cell>
        </row>
        <row r="22">
          <cell r="B22">
            <v>2400033290</v>
          </cell>
          <cell r="C22" t="str">
            <v>BOBBILI  LAHARIKRISHNARAMALAKSHMI NAGARATNA</v>
          </cell>
          <cell r="D22" t="str">
            <v>24CS2256F</v>
          </cell>
          <cell r="E22" t="str">
            <v>L</v>
          </cell>
          <cell r="F22" t="str">
            <v>FOUNDATIONS OF BLOCK CHAIN ENGINEERING</v>
          </cell>
        </row>
        <row r="23">
          <cell r="B23">
            <v>2400033281</v>
          </cell>
          <cell r="C23" t="str">
            <v>VARRA  VARSHITHA</v>
          </cell>
          <cell r="D23" t="str">
            <v>24CS2255F</v>
          </cell>
          <cell r="E23" t="str">
            <v>L</v>
          </cell>
          <cell r="F23" t="str">
            <v>ADVANCED DATA STRUCTURES</v>
          </cell>
        </row>
        <row r="24">
          <cell r="B24">
            <v>2400033280</v>
          </cell>
          <cell r="C24" t="str">
            <v>RAYAPUREDDY  VENKATA SIVA</v>
          </cell>
          <cell r="D24" t="str">
            <v>24CS2227F</v>
          </cell>
          <cell r="E24" t="str">
            <v>L</v>
          </cell>
          <cell r="F24" t="str">
            <v>DATA ANALYTICS AND VISUALIZATION</v>
          </cell>
        </row>
        <row r="25">
          <cell r="B25">
            <v>2400033278</v>
          </cell>
          <cell r="C25" t="str">
            <v>CHEBOLU VIJAY VINAYAK</v>
          </cell>
          <cell r="D25" t="str">
            <v>24CS2221F</v>
          </cell>
          <cell r="E25" t="str">
            <v>L</v>
          </cell>
          <cell r="F25" t="str">
            <v>UX DESIGN</v>
          </cell>
        </row>
        <row r="26">
          <cell r="B26">
            <v>2400033276</v>
          </cell>
          <cell r="C26" t="str">
            <v>PASUPULETI  SRIKANTH</v>
          </cell>
          <cell r="D26" t="str">
            <v>24CS2227F</v>
          </cell>
          <cell r="E26" t="str">
            <v>L</v>
          </cell>
          <cell r="F26" t="str">
            <v>DATA ANALYTICS AND VISUALIZATION</v>
          </cell>
        </row>
        <row r="27">
          <cell r="B27">
            <v>2400033262</v>
          </cell>
          <cell r="C27" t="str">
            <v>SETTI  RAVI  KUMAR</v>
          </cell>
          <cell r="D27" t="str">
            <v>24CS2239F</v>
          </cell>
          <cell r="E27" t="str">
            <v>L</v>
          </cell>
          <cell r="F27" t="str">
            <v>SOFTWARE VERIFICATION AND VALIDATION</v>
          </cell>
        </row>
        <row r="28">
          <cell r="B28">
            <v>2400033250</v>
          </cell>
          <cell r="C28" t="str">
            <v xml:space="preserve">PEDDISETTI  VAMSI KRISHNA </v>
          </cell>
          <cell r="D28" t="str">
            <v>24CS2224F</v>
          </cell>
          <cell r="E28" t="str">
            <v>L</v>
          </cell>
          <cell r="F28" t="str">
            <v>CRYPT ANALYSIS AND CYBER DEFENCE</v>
          </cell>
        </row>
        <row r="29">
          <cell r="B29">
            <v>2400033248</v>
          </cell>
          <cell r="C29" t="str">
            <v>NAKARABOYINA KIRAN RISHI</v>
          </cell>
          <cell r="D29" t="str">
            <v>24CS2255F</v>
          </cell>
          <cell r="E29" t="str">
            <v>L</v>
          </cell>
          <cell r="F29" t="str">
            <v>ADVANCED DATA STRUCTURES</v>
          </cell>
        </row>
        <row r="30">
          <cell r="B30">
            <v>2400033234</v>
          </cell>
          <cell r="C30" t="str">
            <v>KATAKAM NITISH BABU</v>
          </cell>
          <cell r="D30" t="str">
            <v>24CS2255F</v>
          </cell>
          <cell r="E30" t="str">
            <v>L</v>
          </cell>
          <cell r="F30" t="str">
            <v>ADVANCED DATA STRUCTURES</v>
          </cell>
        </row>
        <row r="31">
          <cell r="B31">
            <v>2400033230</v>
          </cell>
          <cell r="C31" t="str">
            <v xml:space="preserve">MAJJI  RAVI  SANKAR </v>
          </cell>
          <cell r="D31" t="str">
            <v>24CS2256F</v>
          </cell>
          <cell r="E31" t="str">
            <v>L</v>
          </cell>
          <cell r="F31" t="str">
            <v>FOUNDATIONS OF BLOCK CHAIN ENGINEERING</v>
          </cell>
        </row>
        <row r="32">
          <cell r="B32">
            <v>2400033229</v>
          </cell>
          <cell r="C32" t="str">
            <v>JANGA  GOPICHAND</v>
          </cell>
          <cell r="D32" t="str">
            <v>24CS2237F</v>
          </cell>
          <cell r="E32" t="str">
            <v>L</v>
          </cell>
          <cell r="F32" t="str">
            <v>QUANTUM COMPUTING</v>
          </cell>
        </row>
        <row r="33">
          <cell r="B33">
            <v>2400033228</v>
          </cell>
          <cell r="C33" t="str">
            <v xml:space="preserve">BANDLAMUDI   ADITYA </v>
          </cell>
          <cell r="D33" t="str">
            <v>24CS2256F</v>
          </cell>
          <cell r="E33" t="str">
            <v>L</v>
          </cell>
          <cell r="F33" t="str">
            <v>FOUNDATIONS OF BLOCK CHAIN ENGINEERING</v>
          </cell>
        </row>
        <row r="34">
          <cell r="B34">
            <v>2400033225</v>
          </cell>
          <cell r="C34" t="str">
            <v>V P D  JAHNAVI PYLA</v>
          </cell>
          <cell r="D34" t="str">
            <v>24CS2255F</v>
          </cell>
          <cell r="E34" t="str">
            <v>L</v>
          </cell>
          <cell r="F34" t="str">
            <v>ADVANCED DATA STRUCTURES</v>
          </cell>
        </row>
        <row r="35">
          <cell r="B35">
            <v>2400033211</v>
          </cell>
          <cell r="C35" t="str">
            <v>CHENNUPATI  PRUDHVI  SAI</v>
          </cell>
          <cell r="D35" t="str">
            <v>24CS2227F</v>
          </cell>
          <cell r="E35" t="str">
            <v>L</v>
          </cell>
          <cell r="F35" t="str">
            <v>DATA ANALYTICS AND VISUALIZATION</v>
          </cell>
        </row>
        <row r="36">
          <cell r="B36">
            <v>2400033210</v>
          </cell>
          <cell r="C36" t="str">
            <v>KATUKURI VISWESH  KUMAR</v>
          </cell>
          <cell r="D36" t="str">
            <v>24CS2256F</v>
          </cell>
          <cell r="E36" t="str">
            <v>L</v>
          </cell>
          <cell r="F36" t="str">
            <v>FOUNDATIONS OF BLOCK CHAIN ENGINEERING</v>
          </cell>
        </row>
        <row r="37">
          <cell r="B37">
            <v>2400033209</v>
          </cell>
          <cell r="C37" t="str">
            <v>GURRAM  VARSHITH</v>
          </cell>
          <cell r="D37" t="str">
            <v>24EE2230F</v>
          </cell>
          <cell r="E37" t="str">
            <v>L</v>
          </cell>
          <cell r="F37" t="str">
            <v>ESSENTIALS OF AUTONOMOUS SYSTEMS</v>
          </cell>
        </row>
        <row r="38">
          <cell r="B38">
            <v>2400033204</v>
          </cell>
          <cell r="C38" t="str">
            <v>UJJAWAL  KRITI</v>
          </cell>
          <cell r="D38" t="str">
            <v>24CS2221F</v>
          </cell>
          <cell r="E38" t="str">
            <v>L</v>
          </cell>
          <cell r="F38" t="str">
            <v>UX DESIGN</v>
          </cell>
        </row>
        <row r="39">
          <cell r="B39">
            <v>2400033193</v>
          </cell>
          <cell r="C39" t="str">
            <v>SABBAVARAPU  VINAY</v>
          </cell>
          <cell r="D39" t="str">
            <v>24CS2264F</v>
          </cell>
          <cell r="E39" t="str">
            <v>L</v>
          </cell>
          <cell r="F39" t="str">
            <v>GAME SYSTEMS DESIGN AND DEVELOPMENT</v>
          </cell>
        </row>
        <row r="40">
          <cell r="B40">
            <v>2400033186</v>
          </cell>
          <cell r="C40" t="str">
            <v>CHIRRA  SAI KRISHNA REDDY</v>
          </cell>
          <cell r="D40" t="str">
            <v>24CS2255F</v>
          </cell>
          <cell r="E40" t="str">
            <v>L</v>
          </cell>
          <cell r="F40" t="str">
            <v>ADVANCED DATA STRUCTURES</v>
          </cell>
        </row>
        <row r="41">
          <cell r="B41">
            <v>2400033185</v>
          </cell>
          <cell r="C41" t="str">
            <v>CHEEKATLA   ADITYA VARDHAN</v>
          </cell>
          <cell r="D41" t="str">
            <v>24CS2258F</v>
          </cell>
          <cell r="E41" t="str">
            <v>L</v>
          </cell>
          <cell r="F41" t="str">
            <v>NATURAL LANGUAGE PROCESSING</v>
          </cell>
        </row>
        <row r="42">
          <cell r="B42">
            <v>2400033184</v>
          </cell>
          <cell r="C42" t="str">
            <v>GUBBA SHARATH  CHANDRA</v>
          </cell>
          <cell r="D42" t="str">
            <v>24CS2255F</v>
          </cell>
          <cell r="E42" t="str">
            <v>L</v>
          </cell>
          <cell r="F42" t="str">
            <v>ADVANCED DATA STRUCTURES</v>
          </cell>
        </row>
        <row r="43">
          <cell r="B43">
            <v>2400033168</v>
          </cell>
          <cell r="C43" t="str">
            <v>LANKIPALLI  NAVYASREE</v>
          </cell>
          <cell r="D43" t="str">
            <v>24CS2224F</v>
          </cell>
          <cell r="E43" t="str">
            <v>L</v>
          </cell>
          <cell r="F43" t="str">
            <v>CRYPT ANALYSIS AND CYBER DEFENCE</v>
          </cell>
        </row>
        <row r="44">
          <cell r="B44">
            <v>2400033167</v>
          </cell>
          <cell r="C44" t="str">
            <v>ELLURU  SAI ROOPESH</v>
          </cell>
          <cell r="D44" t="str">
            <v>24CS2221F</v>
          </cell>
          <cell r="E44" t="str">
            <v>L</v>
          </cell>
          <cell r="F44" t="str">
            <v>UX DESIGN</v>
          </cell>
        </row>
        <row r="45">
          <cell r="B45">
            <v>2400033166</v>
          </cell>
          <cell r="C45" t="str">
            <v>KONDEPUDI  VENKATA BHUVAN THEJAS</v>
          </cell>
          <cell r="D45" t="str">
            <v>24CS2224F</v>
          </cell>
          <cell r="E45" t="str">
            <v>L</v>
          </cell>
          <cell r="F45" t="str">
            <v>CRYPT ANALYSIS AND CYBER DEFENCE</v>
          </cell>
        </row>
        <row r="46">
          <cell r="B46">
            <v>2400033152</v>
          </cell>
          <cell r="C46" t="str">
            <v>SUNKARA GEETA SRI</v>
          </cell>
          <cell r="D46" t="str">
            <v>24CS2221F</v>
          </cell>
          <cell r="E46" t="str">
            <v>L</v>
          </cell>
          <cell r="F46" t="str">
            <v>UX DESIGN</v>
          </cell>
        </row>
        <row r="47">
          <cell r="B47">
            <v>2400033151</v>
          </cell>
          <cell r="C47" t="str">
            <v>CHALLA  VENKU  REDDY</v>
          </cell>
          <cell r="D47" t="str">
            <v>24CS2258F</v>
          </cell>
          <cell r="E47" t="str">
            <v>L</v>
          </cell>
          <cell r="F47" t="str">
            <v>NATURAL LANGUAGE PROCESSING</v>
          </cell>
        </row>
        <row r="48">
          <cell r="B48">
            <v>2400033148</v>
          </cell>
          <cell r="C48" t="str">
            <v>BATTU  THANUSH</v>
          </cell>
          <cell r="D48" t="str">
            <v>24CS2255F</v>
          </cell>
          <cell r="E48" t="str">
            <v>L</v>
          </cell>
          <cell r="F48" t="str">
            <v>ADVANCED DATA STRUCTURES</v>
          </cell>
        </row>
        <row r="49">
          <cell r="B49">
            <v>2400033141</v>
          </cell>
          <cell r="C49" t="str">
            <v>SALLA HARSHITH REDDY</v>
          </cell>
          <cell r="D49" t="str">
            <v>24CS2224F</v>
          </cell>
          <cell r="E49" t="str">
            <v>L</v>
          </cell>
          <cell r="F49" t="str">
            <v>CRYPT ANALYSIS AND CYBER DEFENCE</v>
          </cell>
        </row>
        <row r="50">
          <cell r="B50">
            <v>2400033140</v>
          </cell>
          <cell r="C50" t="str">
            <v xml:space="preserve">SANIKOMMU   PRIYANKA </v>
          </cell>
          <cell r="D50" t="str">
            <v>24CS2255F</v>
          </cell>
          <cell r="E50" t="str">
            <v>L</v>
          </cell>
          <cell r="F50" t="str">
            <v>ADVANCED DATA STRUCTURES</v>
          </cell>
        </row>
        <row r="51">
          <cell r="B51">
            <v>2400033135</v>
          </cell>
          <cell r="C51" t="str">
            <v>LINGAM GUNA SANTOSH</v>
          </cell>
          <cell r="D51" t="str">
            <v>24CS2227F</v>
          </cell>
          <cell r="E51" t="str">
            <v>L</v>
          </cell>
          <cell r="F51" t="str">
            <v>DATA ANALYTICS AND VISUALIZATION</v>
          </cell>
        </row>
        <row r="52">
          <cell r="B52">
            <v>2400033131</v>
          </cell>
          <cell r="C52" t="str">
            <v>S KISHOR REDDY</v>
          </cell>
          <cell r="D52" t="str">
            <v>24CS2224F</v>
          </cell>
          <cell r="E52" t="str">
            <v>L</v>
          </cell>
          <cell r="F52" t="str">
            <v>CRYPT ANALYSIS AND CYBER DEFENCE</v>
          </cell>
        </row>
        <row r="53">
          <cell r="B53">
            <v>2400033121</v>
          </cell>
          <cell r="C53" t="str">
            <v>KALIVARAPU  SATWIK</v>
          </cell>
          <cell r="D53" t="str">
            <v>24CS2237F</v>
          </cell>
          <cell r="E53" t="str">
            <v>L</v>
          </cell>
          <cell r="F53" t="str">
            <v>QUANTUM COMPUTING</v>
          </cell>
        </row>
        <row r="54">
          <cell r="B54">
            <v>2400033118</v>
          </cell>
          <cell r="C54" t="str">
            <v>LAVANKULA   HARSHITHA</v>
          </cell>
          <cell r="D54" t="str">
            <v>24CS2239F</v>
          </cell>
          <cell r="E54" t="str">
            <v>L</v>
          </cell>
          <cell r="F54" t="str">
            <v>SOFTWARE VERIFICATION AND VALIDATION</v>
          </cell>
        </row>
        <row r="55">
          <cell r="B55">
            <v>2400033110</v>
          </cell>
          <cell r="C55" t="str">
            <v>GUNDLA   CHAITHRA</v>
          </cell>
          <cell r="D55" t="str">
            <v>24CS2237F</v>
          </cell>
          <cell r="E55" t="str">
            <v>L</v>
          </cell>
          <cell r="F55" t="str">
            <v>QUANTUM COMPUTING</v>
          </cell>
        </row>
        <row r="56">
          <cell r="B56">
            <v>2400033103</v>
          </cell>
          <cell r="C56" t="str">
            <v>KOTA SANJAY VEERA SWAMY</v>
          </cell>
          <cell r="D56" t="str">
            <v>24CS2227F</v>
          </cell>
          <cell r="E56" t="str">
            <v>L</v>
          </cell>
          <cell r="F56" t="str">
            <v>DATA ANALYTICS AND VISUALIZATION</v>
          </cell>
        </row>
        <row r="57">
          <cell r="B57">
            <v>2400033101</v>
          </cell>
          <cell r="C57" t="str">
            <v xml:space="preserve">LOHITH  TULLIMILLI </v>
          </cell>
          <cell r="D57" t="str">
            <v>24CS2264F</v>
          </cell>
          <cell r="E57" t="str">
            <v>L</v>
          </cell>
          <cell r="F57" t="str">
            <v>GAME SYSTEMS DESIGN AND DEVELOPMENT</v>
          </cell>
        </row>
        <row r="58">
          <cell r="B58">
            <v>2400033099</v>
          </cell>
          <cell r="C58" t="str">
            <v>PARASA SOMENDRA PRAKASH</v>
          </cell>
          <cell r="D58" t="str">
            <v>24CS2255F</v>
          </cell>
          <cell r="E58" t="str">
            <v>L</v>
          </cell>
          <cell r="F58" t="str">
            <v>ADVANCED DATA STRUCTURES</v>
          </cell>
        </row>
        <row r="59">
          <cell r="B59">
            <v>2400033098</v>
          </cell>
          <cell r="C59" t="str">
            <v>VELPULA  VARUN  TEJ</v>
          </cell>
          <cell r="D59" t="str">
            <v>24CS2264F</v>
          </cell>
          <cell r="E59" t="str">
            <v>L</v>
          </cell>
          <cell r="F59" t="str">
            <v>GAME SYSTEMS DESIGN AND DEVELOPMENT</v>
          </cell>
        </row>
        <row r="60">
          <cell r="B60">
            <v>2400033095</v>
          </cell>
          <cell r="C60" t="str">
            <v>SATHRI SWAROOP KUMAR</v>
          </cell>
          <cell r="D60" t="str">
            <v>24CS2224F</v>
          </cell>
          <cell r="E60" t="str">
            <v>L</v>
          </cell>
          <cell r="F60" t="str">
            <v>CRYPT ANALYSIS AND CYBER DEFENCE</v>
          </cell>
        </row>
        <row r="61">
          <cell r="B61">
            <v>2400033092</v>
          </cell>
          <cell r="C61" t="str">
            <v>BARATAM  SAMEERA</v>
          </cell>
          <cell r="D61" t="str">
            <v>24CS2264F</v>
          </cell>
          <cell r="E61" t="str">
            <v>L</v>
          </cell>
          <cell r="F61" t="str">
            <v>GAME SYSTEMS DESIGN AND DEVELOPMENT</v>
          </cell>
        </row>
        <row r="62">
          <cell r="B62">
            <v>2400033088</v>
          </cell>
          <cell r="C62" t="str">
            <v>SINGANAMALLA VENKATA SAI</v>
          </cell>
          <cell r="D62" t="str">
            <v>24CS2264F</v>
          </cell>
          <cell r="E62" t="str">
            <v>L</v>
          </cell>
          <cell r="F62" t="str">
            <v>GAME SYSTEMS DESIGN AND DEVELOPMENT</v>
          </cell>
        </row>
        <row r="63">
          <cell r="B63">
            <v>2400033084</v>
          </cell>
          <cell r="C63" t="str">
            <v>R GNANA KISHORE</v>
          </cell>
          <cell r="D63" t="str">
            <v>24CS2224F</v>
          </cell>
          <cell r="E63" t="str">
            <v>L</v>
          </cell>
          <cell r="F63" t="str">
            <v>CRYPT ANALYSIS AND CYBER DEFENCE</v>
          </cell>
        </row>
        <row r="64">
          <cell r="B64">
            <v>2400033082</v>
          </cell>
          <cell r="C64" t="str">
            <v>GADDAM  SAI RAVEESH  REDDY</v>
          </cell>
          <cell r="D64" t="str">
            <v>24CS2256F</v>
          </cell>
          <cell r="E64" t="str">
            <v>L</v>
          </cell>
          <cell r="F64" t="str">
            <v>FOUNDATIONS OF BLOCK CHAIN ENGINEERING</v>
          </cell>
        </row>
        <row r="65">
          <cell r="B65">
            <v>2400033081</v>
          </cell>
          <cell r="C65" t="str">
            <v>PICHALA VEERA MOHAN REDDY</v>
          </cell>
          <cell r="D65" t="str">
            <v>24CS2256F</v>
          </cell>
          <cell r="E65" t="str">
            <v>L</v>
          </cell>
          <cell r="F65" t="str">
            <v>FOUNDATIONS OF BLOCK CHAIN ENGINEERING</v>
          </cell>
        </row>
        <row r="66">
          <cell r="B66">
            <v>2400033077</v>
          </cell>
          <cell r="C66" t="str">
            <v>NAMALA SURYA  VAMSI VARMA</v>
          </cell>
          <cell r="D66" t="str">
            <v>24CS2255F</v>
          </cell>
          <cell r="E66" t="str">
            <v>L</v>
          </cell>
          <cell r="F66" t="str">
            <v>ADVANCED DATA STRUCTURES</v>
          </cell>
        </row>
        <row r="67">
          <cell r="B67">
            <v>2400033076</v>
          </cell>
          <cell r="C67" t="str">
            <v>THADI   VANITHA</v>
          </cell>
          <cell r="D67" t="str">
            <v>24CS2258F</v>
          </cell>
          <cell r="E67" t="str">
            <v>L</v>
          </cell>
          <cell r="F67" t="str">
            <v>NATURAL LANGUAGE PROCESSING</v>
          </cell>
        </row>
        <row r="68">
          <cell r="B68">
            <v>2400033073</v>
          </cell>
          <cell r="C68" t="str">
            <v>MS.  SUHANI PARASHAR</v>
          </cell>
          <cell r="D68" t="str">
            <v>24CS2227F</v>
          </cell>
          <cell r="E68" t="str">
            <v>L</v>
          </cell>
          <cell r="F68" t="str">
            <v>DATA ANALYTICS AND VISUALIZATION</v>
          </cell>
        </row>
        <row r="69">
          <cell r="B69">
            <v>2400033072</v>
          </cell>
          <cell r="C69" t="str">
            <v>VALLAMPATI   SRIJA</v>
          </cell>
          <cell r="D69" t="str">
            <v>24CS2255F</v>
          </cell>
          <cell r="E69" t="str">
            <v>L</v>
          </cell>
          <cell r="F69" t="str">
            <v>ADVANCED DATA STRUCTURES</v>
          </cell>
        </row>
        <row r="70">
          <cell r="B70">
            <v>2400033070</v>
          </cell>
          <cell r="C70" t="str">
            <v>ANNAM  KARTHIKEYAN</v>
          </cell>
          <cell r="D70" t="str">
            <v>24CS2256F</v>
          </cell>
          <cell r="E70" t="str">
            <v>L</v>
          </cell>
          <cell r="F70" t="str">
            <v>FOUNDATIONS OF BLOCK CHAIN ENGINEERING</v>
          </cell>
        </row>
        <row r="71">
          <cell r="B71">
            <v>2400033068</v>
          </cell>
          <cell r="C71" t="str">
            <v>THIMMISETTY SIVA MANI</v>
          </cell>
          <cell r="D71" t="str">
            <v>24CS2256F</v>
          </cell>
          <cell r="E71" t="str">
            <v>L</v>
          </cell>
          <cell r="F71" t="str">
            <v>FOUNDATIONS OF BLOCK CHAIN ENGINEERING</v>
          </cell>
        </row>
        <row r="72">
          <cell r="B72">
            <v>2400033064</v>
          </cell>
          <cell r="C72" t="str">
            <v>GUNJI  KARTHIK</v>
          </cell>
          <cell r="D72" t="str">
            <v>24CS2239F</v>
          </cell>
          <cell r="E72" t="str">
            <v>L</v>
          </cell>
          <cell r="F72" t="str">
            <v>SOFTWARE VERIFICATION AND VALIDATION</v>
          </cell>
        </row>
        <row r="73">
          <cell r="B73">
            <v>2400033054</v>
          </cell>
          <cell r="C73" t="str">
            <v>ANIVELLA JANAKI  RAM</v>
          </cell>
          <cell r="D73" t="str">
            <v>24CS2237F</v>
          </cell>
          <cell r="E73" t="str">
            <v>L</v>
          </cell>
          <cell r="F73" t="str">
            <v>QUANTUM COMPUTING</v>
          </cell>
        </row>
        <row r="74">
          <cell r="B74">
            <v>2400033046</v>
          </cell>
          <cell r="C74" t="str">
            <v>KOLA AKHIL REDDY</v>
          </cell>
          <cell r="D74" t="str">
            <v>24CS2256F</v>
          </cell>
          <cell r="E74" t="str">
            <v>L</v>
          </cell>
          <cell r="F74" t="str">
            <v>FOUNDATIONS OF BLOCK CHAIN ENGINEERING</v>
          </cell>
        </row>
        <row r="75">
          <cell r="B75">
            <v>2400033045</v>
          </cell>
          <cell r="C75" t="str">
            <v>RANGA NAGA SAI SRUTHI</v>
          </cell>
          <cell r="D75" t="str">
            <v>24CS2224F</v>
          </cell>
          <cell r="E75" t="str">
            <v>L</v>
          </cell>
          <cell r="F75" t="str">
            <v>CRYPT ANALYSIS AND CYBER DEFENCE</v>
          </cell>
        </row>
        <row r="76">
          <cell r="B76">
            <v>2400033043</v>
          </cell>
          <cell r="C76" t="str">
            <v>MEESALA   JNANESH</v>
          </cell>
          <cell r="D76" t="str">
            <v>24CS2237F</v>
          </cell>
          <cell r="E76" t="str">
            <v>L</v>
          </cell>
          <cell r="F76" t="str">
            <v>QUANTUM COMPUTING</v>
          </cell>
        </row>
        <row r="77">
          <cell r="B77">
            <v>2400033038</v>
          </cell>
          <cell r="C77" t="str">
            <v>SIRNAM  RITHWIK</v>
          </cell>
          <cell r="D77" t="str">
            <v>24CS2258F</v>
          </cell>
          <cell r="E77" t="str">
            <v>L</v>
          </cell>
          <cell r="F77" t="str">
            <v>NATURAL LANGUAGE PROCESSING</v>
          </cell>
        </row>
        <row r="78">
          <cell r="B78">
            <v>2400033029</v>
          </cell>
          <cell r="C78" t="str">
            <v>LAVETI  MANASWINI</v>
          </cell>
          <cell r="D78" t="str">
            <v>24CS2221F</v>
          </cell>
          <cell r="E78" t="str">
            <v>L</v>
          </cell>
          <cell r="F78" t="str">
            <v>UX DESIGN</v>
          </cell>
        </row>
        <row r="79">
          <cell r="B79">
            <v>2400033028</v>
          </cell>
          <cell r="C79" t="str">
            <v>VETUKURI  VENKATA HERANYA VARMA</v>
          </cell>
          <cell r="D79" t="str">
            <v>24CS2255F</v>
          </cell>
          <cell r="E79" t="str">
            <v>L</v>
          </cell>
          <cell r="F79" t="str">
            <v>ADVANCED DATA STRUCTURES</v>
          </cell>
        </row>
        <row r="80">
          <cell r="B80">
            <v>2400033027</v>
          </cell>
          <cell r="C80" t="str">
            <v>NUKALAPATI BHARATH KUMAR</v>
          </cell>
          <cell r="D80" t="str">
            <v>24CS2256F</v>
          </cell>
          <cell r="E80" t="str">
            <v>L</v>
          </cell>
          <cell r="F80" t="str">
            <v>FOUNDATIONS OF BLOCK CHAIN ENGINEERING</v>
          </cell>
        </row>
        <row r="81">
          <cell r="B81">
            <v>2400033025</v>
          </cell>
          <cell r="C81" t="str">
            <v>ARNAB  DEY</v>
          </cell>
          <cell r="D81" t="str">
            <v>24CS2260F</v>
          </cell>
          <cell r="E81" t="str">
            <v>L</v>
          </cell>
          <cell r="F81" t="str">
            <v>FOUNDATIONS OF CLOUD-NATIVE COMPUTING &amp; DEVOPS</v>
          </cell>
        </row>
        <row r="82">
          <cell r="B82">
            <v>2400033013</v>
          </cell>
          <cell r="C82" t="str">
            <v>MALLIKA NITEESH RAJA</v>
          </cell>
          <cell r="D82" t="str">
            <v>24CS2255F</v>
          </cell>
          <cell r="E82" t="str">
            <v>L</v>
          </cell>
          <cell r="F82" t="str">
            <v>ADVANCED DATA STRUCTURES</v>
          </cell>
        </row>
        <row r="83">
          <cell r="B83">
            <v>2400033010</v>
          </cell>
          <cell r="C83" t="str">
            <v>KARANAM  NANI</v>
          </cell>
          <cell r="D83" t="str">
            <v>24CS2224F</v>
          </cell>
          <cell r="E83" t="str">
            <v>L</v>
          </cell>
          <cell r="F83" t="str">
            <v>CRYPT ANALYSIS AND CYBER DEFENCE</v>
          </cell>
        </row>
        <row r="84">
          <cell r="B84">
            <v>2400033009</v>
          </cell>
          <cell r="C84" t="str">
            <v xml:space="preserve">AGARWAL AMIT SHANKARLAL </v>
          </cell>
          <cell r="D84" t="str">
            <v>24CS2227F</v>
          </cell>
          <cell r="E84" t="str">
            <v>L</v>
          </cell>
          <cell r="F84" t="str">
            <v>DATA ANALYTICS AND VISUALIZATION</v>
          </cell>
        </row>
        <row r="85">
          <cell r="B85">
            <v>2400033005</v>
          </cell>
          <cell r="C85" t="str">
            <v>PANGAM  HEMASMITHA</v>
          </cell>
          <cell r="D85" t="str">
            <v>24CS2221F</v>
          </cell>
          <cell r="E85" t="str">
            <v>L</v>
          </cell>
          <cell r="F85" t="str">
            <v>UX DESIGN</v>
          </cell>
        </row>
        <row r="86">
          <cell r="B86">
            <v>2400033004</v>
          </cell>
          <cell r="C86" t="str">
            <v>PONNAM KIRAN  GOPI</v>
          </cell>
          <cell r="D86" t="str">
            <v>24CS2255F</v>
          </cell>
          <cell r="E86" t="str">
            <v>L</v>
          </cell>
          <cell r="F86" t="str">
            <v>ADVANCED DATA STRUCTURES</v>
          </cell>
        </row>
        <row r="87">
          <cell r="B87">
            <v>2400032989</v>
          </cell>
          <cell r="C87" t="str">
            <v>RITU  KUMARI</v>
          </cell>
          <cell r="D87" t="str">
            <v>24CS2255F</v>
          </cell>
          <cell r="E87" t="str">
            <v>L</v>
          </cell>
          <cell r="F87" t="str">
            <v>ADVANCED DATA STRUCTURES</v>
          </cell>
        </row>
        <row r="88">
          <cell r="B88">
            <v>2400032988</v>
          </cell>
          <cell r="C88" t="str">
            <v>ULAKAPPA   BRAHMANI</v>
          </cell>
          <cell r="D88" t="str">
            <v>24CS2255F</v>
          </cell>
          <cell r="E88" t="str">
            <v>L</v>
          </cell>
          <cell r="F88" t="str">
            <v>ADVANCED DATA STRUCTURES</v>
          </cell>
        </row>
        <row r="89">
          <cell r="B89">
            <v>2400032975</v>
          </cell>
          <cell r="C89" t="str">
            <v>NAGALAXMI  GOGIKAR</v>
          </cell>
          <cell r="D89" t="str">
            <v>24CS2255F</v>
          </cell>
          <cell r="E89" t="str">
            <v>L</v>
          </cell>
          <cell r="F89" t="str">
            <v>ADVANCED DATA STRUCTURES</v>
          </cell>
        </row>
        <row r="90">
          <cell r="B90">
            <v>2400032974</v>
          </cell>
          <cell r="C90" t="str">
            <v>GUDLA  KARTIK</v>
          </cell>
          <cell r="D90" t="str">
            <v>24CS2224F</v>
          </cell>
          <cell r="E90" t="str">
            <v>L</v>
          </cell>
          <cell r="F90" t="str">
            <v>CRYPT ANALYSIS AND CYBER DEFENCE</v>
          </cell>
        </row>
        <row r="91">
          <cell r="B91">
            <v>2400032968</v>
          </cell>
          <cell r="C91" t="str">
            <v>PALADUGU GOPI CHANDU</v>
          </cell>
          <cell r="D91" t="str">
            <v>24CS2224F</v>
          </cell>
          <cell r="E91" t="str">
            <v>L</v>
          </cell>
          <cell r="F91" t="str">
            <v>CRYPT ANALYSIS AND CYBER DEFENCE</v>
          </cell>
        </row>
        <row r="92">
          <cell r="B92">
            <v>2400032967</v>
          </cell>
          <cell r="C92" t="str">
            <v>VIJAY  ANAND</v>
          </cell>
          <cell r="D92" t="str">
            <v>24CS2237F</v>
          </cell>
          <cell r="E92" t="str">
            <v>L</v>
          </cell>
          <cell r="F92" t="str">
            <v>QUANTUM COMPUTING</v>
          </cell>
        </row>
        <row r="93">
          <cell r="B93">
            <v>2400032960</v>
          </cell>
          <cell r="C93" t="str">
            <v>KANAKAGIRI  GAYATHRI  DEVI</v>
          </cell>
          <cell r="D93" t="str">
            <v>24CS2224F</v>
          </cell>
          <cell r="E93" t="str">
            <v>L</v>
          </cell>
          <cell r="F93" t="str">
            <v>CRYPT ANALYSIS AND CYBER DEFENCE</v>
          </cell>
        </row>
        <row r="94">
          <cell r="B94">
            <v>2400032957</v>
          </cell>
          <cell r="C94" t="str">
            <v>JUPUDI  V R S SAI CHARAN</v>
          </cell>
          <cell r="D94" t="str">
            <v>24EC2223F</v>
          </cell>
          <cell r="E94" t="str">
            <v>L</v>
          </cell>
          <cell r="F94" t="str">
            <v>FUNDAMENTALS OF ROBOTICS</v>
          </cell>
        </row>
        <row r="95">
          <cell r="B95">
            <v>2400032956</v>
          </cell>
          <cell r="C95" t="str">
            <v>PRATHAM  SABHARWAL</v>
          </cell>
          <cell r="D95" t="str">
            <v>24CS2260F</v>
          </cell>
          <cell r="E95" t="str">
            <v>L</v>
          </cell>
          <cell r="F95" t="str">
            <v>FOUNDATIONS OF CLOUD-NATIVE COMPUTING &amp; DEVOPS</v>
          </cell>
        </row>
        <row r="96">
          <cell r="B96">
            <v>2400032955</v>
          </cell>
          <cell r="C96" t="str">
            <v>ADABALA SATYA SAI RAM</v>
          </cell>
          <cell r="D96" t="str">
            <v>24CS2239F</v>
          </cell>
          <cell r="E96" t="str">
            <v>L</v>
          </cell>
          <cell r="F96" t="str">
            <v>SOFTWARE VERIFICATION AND VALIDATION</v>
          </cell>
        </row>
        <row r="97">
          <cell r="B97">
            <v>2400032954</v>
          </cell>
          <cell r="C97" t="str">
            <v>CHILUVURI  MOHAN</v>
          </cell>
          <cell r="D97" t="str">
            <v>24CS2227F</v>
          </cell>
          <cell r="E97" t="str">
            <v>L</v>
          </cell>
          <cell r="F97" t="str">
            <v>DATA ANALYTICS AND VISUALIZATION</v>
          </cell>
        </row>
        <row r="98">
          <cell r="B98">
            <v>2400032942</v>
          </cell>
          <cell r="C98" t="str">
            <v>ADDAGIRI  MEGANADH</v>
          </cell>
          <cell r="D98" t="str">
            <v>24CS2239F</v>
          </cell>
          <cell r="E98" t="str">
            <v>L</v>
          </cell>
          <cell r="F98" t="str">
            <v>SOFTWARE VERIFICATION AND VALIDATION</v>
          </cell>
        </row>
        <row r="99">
          <cell r="B99">
            <v>2400032939</v>
          </cell>
          <cell r="C99" t="str">
            <v>KANUMALA  AASHIISHH</v>
          </cell>
          <cell r="D99" t="str">
            <v>24CS2260F</v>
          </cell>
          <cell r="E99" t="str">
            <v>L</v>
          </cell>
          <cell r="F99" t="str">
            <v>FOUNDATIONS OF CLOUD-NATIVE COMPUTING &amp; DEVOPS</v>
          </cell>
        </row>
        <row r="100">
          <cell r="B100">
            <v>2400032938</v>
          </cell>
          <cell r="C100" t="str">
            <v>KANTAPUREDDY   DINESH</v>
          </cell>
          <cell r="D100" t="str">
            <v>24CS2224F</v>
          </cell>
          <cell r="E100" t="str">
            <v>L</v>
          </cell>
          <cell r="F100" t="str">
            <v>CRYPT ANALYSIS AND CYBER DEFENCE</v>
          </cell>
        </row>
        <row r="101">
          <cell r="B101">
            <v>2400032935</v>
          </cell>
          <cell r="C101" t="str">
            <v>SIKHINAM  NARENDRA</v>
          </cell>
          <cell r="D101" t="str">
            <v>24CS2227F</v>
          </cell>
          <cell r="E101" t="str">
            <v>L</v>
          </cell>
          <cell r="F101" t="str">
            <v>DATA ANALYTICS AND VISUALIZATION</v>
          </cell>
        </row>
        <row r="102">
          <cell r="B102">
            <v>2400032927</v>
          </cell>
          <cell r="C102" t="str">
            <v>CHERUKURI   NIKSHITH</v>
          </cell>
          <cell r="D102" t="str">
            <v>24CS2224F</v>
          </cell>
          <cell r="E102" t="str">
            <v>L</v>
          </cell>
          <cell r="F102" t="str">
            <v>CRYPT ANALYSIS AND CYBER DEFENCE</v>
          </cell>
        </row>
        <row r="103">
          <cell r="B103">
            <v>2400032925</v>
          </cell>
          <cell r="C103" t="str">
            <v>NARLA LAKSHMI POOJA</v>
          </cell>
          <cell r="D103" t="str">
            <v>24CS2227F</v>
          </cell>
          <cell r="E103" t="str">
            <v>L</v>
          </cell>
          <cell r="F103" t="str">
            <v>DATA ANALYTICS AND VISUALIZATION</v>
          </cell>
        </row>
        <row r="104">
          <cell r="B104">
            <v>2400032922</v>
          </cell>
          <cell r="C104" t="str">
            <v>KANURI BALAJI  SESHA SRI SAI</v>
          </cell>
          <cell r="D104" t="str">
            <v>24CS2239F</v>
          </cell>
          <cell r="E104" t="str">
            <v>L</v>
          </cell>
          <cell r="F104" t="str">
            <v>SOFTWARE VERIFICATION AND VALIDATION</v>
          </cell>
        </row>
        <row r="105">
          <cell r="B105">
            <v>2400032916</v>
          </cell>
          <cell r="C105" t="str">
            <v xml:space="preserve">MADINENI  YASHASWINI </v>
          </cell>
          <cell r="D105" t="str">
            <v>24CS2255F</v>
          </cell>
          <cell r="E105" t="str">
            <v>L</v>
          </cell>
          <cell r="F105" t="str">
            <v>ADVANCED DATA STRUCTURES</v>
          </cell>
        </row>
        <row r="106">
          <cell r="B106">
            <v>2400032915</v>
          </cell>
          <cell r="C106" t="str">
            <v>ANKIT   KUMAR</v>
          </cell>
          <cell r="D106" t="str">
            <v>24CS2256F</v>
          </cell>
          <cell r="E106" t="str">
            <v>L</v>
          </cell>
          <cell r="F106" t="str">
            <v>FOUNDATIONS OF BLOCK CHAIN ENGINEERING</v>
          </cell>
        </row>
        <row r="107">
          <cell r="B107">
            <v>2400032914</v>
          </cell>
          <cell r="C107" t="str">
            <v>DUGGIRALA MAHENDRA  BABU</v>
          </cell>
          <cell r="D107" t="str">
            <v>24CS2255F</v>
          </cell>
          <cell r="E107" t="str">
            <v>L</v>
          </cell>
          <cell r="F107" t="str">
            <v>ADVANCED DATA STRUCTURES</v>
          </cell>
        </row>
        <row r="108">
          <cell r="B108">
            <v>2400032907</v>
          </cell>
          <cell r="C108" t="str">
            <v>MANDA  AMRUTHA</v>
          </cell>
          <cell r="D108" t="str">
            <v>24CS2255F</v>
          </cell>
          <cell r="E108" t="str">
            <v>L</v>
          </cell>
          <cell r="F108" t="str">
            <v>ADVANCED DATA STRUCTURES</v>
          </cell>
        </row>
        <row r="109">
          <cell r="B109">
            <v>2400032906</v>
          </cell>
          <cell r="C109" t="str">
            <v>JAMMULA RANJITH  KUMAR</v>
          </cell>
          <cell r="D109" t="str">
            <v>24CS2227F</v>
          </cell>
          <cell r="E109" t="str">
            <v>L</v>
          </cell>
          <cell r="F109" t="str">
            <v>DATA ANALYTICS AND VISUALIZATION</v>
          </cell>
        </row>
        <row r="110">
          <cell r="B110">
            <v>2400032902</v>
          </cell>
          <cell r="C110" t="str">
            <v xml:space="preserve">DUNDI  SAI  RAM VELAGA </v>
          </cell>
          <cell r="D110" t="str">
            <v>24CS2255F</v>
          </cell>
          <cell r="E110" t="str">
            <v>L</v>
          </cell>
          <cell r="F110" t="str">
            <v>ADVANCED DATA STRUCTURES</v>
          </cell>
        </row>
        <row r="111">
          <cell r="B111">
            <v>2400032891</v>
          </cell>
          <cell r="C111" t="str">
            <v>MALISETTI DIVESH  VARDHAN</v>
          </cell>
          <cell r="D111" t="str">
            <v>24CS2255F</v>
          </cell>
          <cell r="E111" t="str">
            <v>L</v>
          </cell>
          <cell r="F111" t="str">
            <v>ADVANCED DATA STRUCTURES</v>
          </cell>
        </row>
        <row r="112">
          <cell r="B112">
            <v>2400032885</v>
          </cell>
          <cell r="C112" t="str">
            <v>PRASHANT  SINGH</v>
          </cell>
          <cell r="D112" t="str">
            <v>24CS2255F</v>
          </cell>
          <cell r="E112" t="str">
            <v>L</v>
          </cell>
          <cell r="F112" t="str">
            <v>ADVANCED DATA STRUCTURES</v>
          </cell>
        </row>
        <row r="113">
          <cell r="B113">
            <v>2400032878</v>
          </cell>
          <cell r="C113" t="str">
            <v>MALLIKA JYOTSNA APOORVA</v>
          </cell>
          <cell r="D113" t="str">
            <v>24EC2223F</v>
          </cell>
          <cell r="E113" t="str">
            <v>L</v>
          </cell>
          <cell r="F113" t="str">
            <v>FUNDAMENTALS OF ROBOTICS</v>
          </cell>
        </row>
        <row r="114">
          <cell r="B114">
            <v>2400032871</v>
          </cell>
          <cell r="C114" t="str">
            <v>SHAIK  PALNATI MOHAMMAD OWAISI</v>
          </cell>
          <cell r="D114" t="str">
            <v>24CS2256F</v>
          </cell>
          <cell r="E114" t="str">
            <v>L</v>
          </cell>
          <cell r="F114" t="str">
            <v>FOUNDATIONS OF BLOCK CHAIN ENGINEERING</v>
          </cell>
        </row>
        <row r="115">
          <cell r="B115">
            <v>2400032864</v>
          </cell>
          <cell r="C115" t="str">
            <v>BRINTAK  CHATTERJEE</v>
          </cell>
          <cell r="D115" t="str">
            <v>24CS2237F</v>
          </cell>
          <cell r="E115" t="str">
            <v>L</v>
          </cell>
          <cell r="F115" t="str">
            <v>QUANTUM COMPUTING</v>
          </cell>
        </row>
        <row r="116">
          <cell r="B116">
            <v>2400032853</v>
          </cell>
          <cell r="C116" t="str">
            <v>CHILAKA SANTHI PRIYA</v>
          </cell>
          <cell r="D116" t="str">
            <v>24CS2256F</v>
          </cell>
          <cell r="E116" t="str">
            <v>L</v>
          </cell>
          <cell r="F116" t="str">
            <v>FOUNDATIONS OF BLOCK CHAIN ENGINEERING</v>
          </cell>
        </row>
        <row r="117">
          <cell r="B117">
            <v>2400032851</v>
          </cell>
          <cell r="C117" t="str">
            <v>VASA SWAPNA GRACE</v>
          </cell>
          <cell r="D117" t="str">
            <v>24CS2256F</v>
          </cell>
          <cell r="E117" t="str">
            <v>L</v>
          </cell>
          <cell r="F117" t="str">
            <v>FOUNDATIONS OF BLOCK CHAIN ENGINEERING</v>
          </cell>
        </row>
        <row r="118">
          <cell r="B118">
            <v>2400032848</v>
          </cell>
          <cell r="C118" t="str">
            <v>BODDU  SIDDHARDA</v>
          </cell>
          <cell r="D118" t="str">
            <v>24CS2239F</v>
          </cell>
          <cell r="E118" t="str">
            <v>L</v>
          </cell>
          <cell r="F118" t="str">
            <v>SOFTWARE VERIFICATION AND VALIDATION</v>
          </cell>
        </row>
        <row r="119">
          <cell r="B119">
            <v>2400032845</v>
          </cell>
          <cell r="C119" t="str">
            <v>GANTA LAKSHMI  SWATHI</v>
          </cell>
          <cell r="D119" t="str">
            <v>24CS2221F</v>
          </cell>
          <cell r="E119" t="str">
            <v>L</v>
          </cell>
          <cell r="F119" t="str">
            <v>UX DESIGN</v>
          </cell>
        </row>
        <row r="120">
          <cell r="B120">
            <v>2400032843</v>
          </cell>
          <cell r="C120" t="str">
            <v>NARISETTY  RAGHUVEER</v>
          </cell>
          <cell r="D120" t="str">
            <v>24CS2224F</v>
          </cell>
          <cell r="E120" t="str">
            <v>L</v>
          </cell>
          <cell r="F120" t="str">
            <v>CRYPT ANALYSIS AND CYBER DEFENCE</v>
          </cell>
        </row>
        <row r="121">
          <cell r="B121">
            <v>2400032840</v>
          </cell>
          <cell r="C121" t="str">
            <v>MUKKU DURGA  BHAVANI</v>
          </cell>
          <cell r="D121" t="str">
            <v>24CS2227F</v>
          </cell>
          <cell r="E121" t="str">
            <v>L</v>
          </cell>
          <cell r="F121" t="str">
            <v>DATA ANALYTICS AND VISUALIZATION</v>
          </cell>
        </row>
        <row r="122">
          <cell r="B122">
            <v>2400032838</v>
          </cell>
          <cell r="C122" t="str">
            <v>DESAMSETTI PAVAN KUMAR</v>
          </cell>
          <cell r="D122" t="str">
            <v>24CS2260F</v>
          </cell>
          <cell r="E122" t="str">
            <v>L</v>
          </cell>
          <cell r="F122" t="str">
            <v>FOUNDATIONS OF CLOUD-NATIVE COMPUTING &amp; DEVOPS</v>
          </cell>
        </row>
        <row r="123">
          <cell r="B123">
            <v>2400032837</v>
          </cell>
          <cell r="C123" t="str">
            <v>SAINKOMMU  RAMAKRISHNA  REDDY</v>
          </cell>
          <cell r="D123" t="str">
            <v>24CS2256F</v>
          </cell>
          <cell r="E123" t="str">
            <v>L</v>
          </cell>
          <cell r="F123" t="str">
            <v>FOUNDATIONS OF BLOCK CHAIN ENGINEERING</v>
          </cell>
        </row>
        <row r="124">
          <cell r="B124">
            <v>2400032834</v>
          </cell>
          <cell r="C124" t="str">
            <v>AKULA  RAGA CHINMAI</v>
          </cell>
          <cell r="D124" t="str">
            <v>24CS2227F</v>
          </cell>
          <cell r="E124" t="str">
            <v>L</v>
          </cell>
          <cell r="F124" t="str">
            <v>DATA ANALYTICS AND VISUALIZATION</v>
          </cell>
        </row>
        <row r="125">
          <cell r="B125">
            <v>2400032832</v>
          </cell>
          <cell r="C125" t="str">
            <v>SUNKARA PRASANNA   LAKSHMI</v>
          </cell>
          <cell r="D125" t="str">
            <v>24CS2258F</v>
          </cell>
          <cell r="E125" t="str">
            <v>L</v>
          </cell>
          <cell r="F125" t="str">
            <v>NATURAL LANGUAGE PROCESSING</v>
          </cell>
        </row>
        <row r="126">
          <cell r="B126">
            <v>2400032822</v>
          </cell>
          <cell r="C126" t="str">
            <v>THOTA USHA  SREE</v>
          </cell>
          <cell r="D126" t="str">
            <v>24CS2255F</v>
          </cell>
          <cell r="E126" t="str">
            <v>L</v>
          </cell>
          <cell r="F126" t="str">
            <v>ADVANCED DATA STRUCTURES</v>
          </cell>
        </row>
        <row r="127">
          <cell r="B127">
            <v>2400032821</v>
          </cell>
          <cell r="C127" t="str">
            <v>INTY VIKAS  RAJ</v>
          </cell>
          <cell r="D127" t="str">
            <v>24CS2224F</v>
          </cell>
          <cell r="E127" t="str">
            <v>L</v>
          </cell>
          <cell r="F127" t="str">
            <v>CRYPT ANALYSIS AND CYBER DEFENCE</v>
          </cell>
        </row>
        <row r="128">
          <cell r="B128">
            <v>2400032816</v>
          </cell>
          <cell r="C128" t="str">
            <v>DEVARAPU  AKHILESHWAR</v>
          </cell>
          <cell r="D128" t="str">
            <v>24CS2264F</v>
          </cell>
          <cell r="E128" t="str">
            <v>L</v>
          </cell>
          <cell r="F128" t="str">
            <v>GAME SYSTEMS DESIGN AND DEVELOPMENT</v>
          </cell>
        </row>
        <row r="129">
          <cell r="B129">
            <v>2400032814</v>
          </cell>
          <cell r="C129" t="str">
            <v>VEGINETI NAGA  HARSHA</v>
          </cell>
          <cell r="D129" t="str">
            <v>24CS2255F</v>
          </cell>
          <cell r="E129" t="str">
            <v>L</v>
          </cell>
          <cell r="F129" t="str">
            <v>ADVANCED DATA STRUCTURES</v>
          </cell>
        </row>
        <row r="130">
          <cell r="B130">
            <v>2400032810</v>
          </cell>
          <cell r="C130" t="str">
            <v>MANDALAPU ASHA  SRI</v>
          </cell>
          <cell r="D130" t="str">
            <v>24CS2239F</v>
          </cell>
          <cell r="E130" t="str">
            <v>L</v>
          </cell>
          <cell r="F130" t="str">
            <v>SOFTWARE VERIFICATION AND VALIDATION</v>
          </cell>
        </row>
        <row r="131">
          <cell r="B131">
            <v>2400032808</v>
          </cell>
          <cell r="C131" t="str">
            <v xml:space="preserve">MULE AISHWARYA MANGESH </v>
          </cell>
          <cell r="D131" t="str">
            <v>24CS2256F</v>
          </cell>
          <cell r="E131" t="str">
            <v>L</v>
          </cell>
          <cell r="F131" t="str">
            <v>FOUNDATIONS OF BLOCK CHAIN ENGINEERING</v>
          </cell>
        </row>
        <row r="132">
          <cell r="B132">
            <v>2400032801</v>
          </cell>
          <cell r="C132" t="str">
            <v>NITIN  KUMAR</v>
          </cell>
          <cell r="D132" t="str">
            <v>24CS2256F</v>
          </cell>
          <cell r="E132" t="str">
            <v>L</v>
          </cell>
          <cell r="F132" t="str">
            <v>FOUNDATIONS OF BLOCK CHAIN ENGINEERING</v>
          </cell>
        </row>
        <row r="133">
          <cell r="B133">
            <v>2400032799</v>
          </cell>
          <cell r="C133" t="str">
            <v>YAKKALI  SREEVALLI</v>
          </cell>
          <cell r="D133" t="str">
            <v>24CS2258F</v>
          </cell>
          <cell r="E133" t="str">
            <v>L</v>
          </cell>
          <cell r="F133" t="str">
            <v>NATURAL LANGUAGE PROCESSING</v>
          </cell>
        </row>
        <row r="134">
          <cell r="B134">
            <v>2400032792</v>
          </cell>
          <cell r="C134" t="str">
            <v>AYUSH  KUMAR</v>
          </cell>
          <cell r="D134" t="str">
            <v>24CS2224F</v>
          </cell>
          <cell r="E134" t="str">
            <v>L</v>
          </cell>
          <cell r="F134" t="str">
            <v>CRYPT ANALYSIS AND CYBER DEFENCE</v>
          </cell>
        </row>
        <row r="135">
          <cell r="B135">
            <v>2400032788</v>
          </cell>
          <cell r="C135" t="str">
            <v>GANTA RISHITHA  CHOWDARY</v>
          </cell>
          <cell r="D135" t="str">
            <v>24CS2227F</v>
          </cell>
          <cell r="E135" t="str">
            <v>L</v>
          </cell>
          <cell r="F135" t="str">
            <v>DATA ANALYTICS AND VISUALIZATION</v>
          </cell>
        </row>
        <row r="136">
          <cell r="B136">
            <v>2400032786</v>
          </cell>
          <cell r="C136" t="str">
            <v>GANGARAPU VENKATA  SAI SANTHOSH</v>
          </cell>
          <cell r="D136" t="str">
            <v>24CS2260F</v>
          </cell>
          <cell r="E136" t="str">
            <v>L</v>
          </cell>
          <cell r="F136" t="str">
            <v>FOUNDATIONS OF CLOUD-NATIVE COMPUTING &amp; DEVOPS</v>
          </cell>
        </row>
        <row r="137">
          <cell r="B137">
            <v>2400032785</v>
          </cell>
          <cell r="C137" t="str">
            <v>MADDU NALIN  RAJ</v>
          </cell>
          <cell r="D137" t="str">
            <v>24CS2256F</v>
          </cell>
          <cell r="E137" t="str">
            <v>L</v>
          </cell>
          <cell r="F137" t="str">
            <v>FOUNDATIONS OF BLOCK CHAIN ENGINEERING</v>
          </cell>
        </row>
        <row r="138">
          <cell r="B138">
            <v>2400032777</v>
          </cell>
          <cell r="C138" t="str">
            <v>GOGIREDDY BHARGAVA  RAMI REDDY</v>
          </cell>
          <cell r="D138" t="str">
            <v>24CS2224F</v>
          </cell>
          <cell r="E138" t="str">
            <v>L</v>
          </cell>
          <cell r="F138" t="str">
            <v>CRYPT ANALYSIS AND CYBER DEFENCE</v>
          </cell>
        </row>
        <row r="139">
          <cell r="B139">
            <v>2400032776</v>
          </cell>
          <cell r="C139" t="str">
            <v>CHANDAKA ASHA  LAHARI</v>
          </cell>
          <cell r="D139" t="str">
            <v>24CS2258F</v>
          </cell>
          <cell r="E139" t="str">
            <v>L</v>
          </cell>
          <cell r="F139" t="str">
            <v>NATURAL LANGUAGE PROCESSING</v>
          </cell>
        </row>
        <row r="140">
          <cell r="B140">
            <v>2400032774</v>
          </cell>
          <cell r="C140" t="str">
            <v>ALLA VENKATA  SAI NIKHIL</v>
          </cell>
          <cell r="D140" t="str">
            <v>24CS2221F</v>
          </cell>
          <cell r="E140" t="str">
            <v>L</v>
          </cell>
          <cell r="F140" t="str">
            <v>UX DESIGN</v>
          </cell>
        </row>
        <row r="141">
          <cell r="B141">
            <v>2400032770</v>
          </cell>
          <cell r="C141" t="str">
            <v>YASAM  LAKSHMI  TARUN</v>
          </cell>
          <cell r="D141" t="str">
            <v>24CS2227F</v>
          </cell>
          <cell r="E141" t="str">
            <v>L</v>
          </cell>
          <cell r="F141" t="str">
            <v>DATA ANALYTICS AND VISUALIZATION</v>
          </cell>
        </row>
        <row r="142">
          <cell r="B142">
            <v>2400032767</v>
          </cell>
          <cell r="C142" t="str">
            <v>SINDE  CHANDINI</v>
          </cell>
          <cell r="D142" t="str">
            <v>24CS2227F</v>
          </cell>
          <cell r="E142" t="str">
            <v>L</v>
          </cell>
          <cell r="F142" t="str">
            <v>DATA ANALYTICS AND VISUALIZATION</v>
          </cell>
        </row>
        <row r="143">
          <cell r="B143">
            <v>2400032758</v>
          </cell>
          <cell r="C143" t="str">
            <v>SHAIK  WASIM</v>
          </cell>
          <cell r="D143" t="str">
            <v>24CS2264F</v>
          </cell>
          <cell r="E143" t="str">
            <v>L</v>
          </cell>
          <cell r="F143" t="str">
            <v>GAME SYSTEMS DESIGN AND DEVELOPMENT</v>
          </cell>
        </row>
        <row r="144">
          <cell r="B144">
            <v>2400032753</v>
          </cell>
          <cell r="C144" t="str">
            <v>BADDI  CHANDANA</v>
          </cell>
          <cell r="D144" t="str">
            <v>24CS2256F</v>
          </cell>
          <cell r="E144" t="str">
            <v>L</v>
          </cell>
          <cell r="F144" t="str">
            <v>FOUNDATIONS OF BLOCK CHAIN ENGINEERING</v>
          </cell>
        </row>
        <row r="145">
          <cell r="B145">
            <v>2400032752</v>
          </cell>
          <cell r="C145" t="str">
            <v>REDDY SIVA  SATYA SAI RAM VINAY</v>
          </cell>
          <cell r="D145" t="str">
            <v>24CS2239F</v>
          </cell>
          <cell r="E145" t="str">
            <v>L</v>
          </cell>
          <cell r="F145" t="str">
            <v>SOFTWARE VERIFICATION AND VALIDATION</v>
          </cell>
        </row>
        <row r="146">
          <cell r="B146">
            <v>2400032742</v>
          </cell>
          <cell r="C146" t="str">
            <v>KUMAR  GOVINDAM</v>
          </cell>
          <cell r="D146" t="str">
            <v>24CS2255F</v>
          </cell>
          <cell r="E146" t="str">
            <v>L</v>
          </cell>
          <cell r="F146" t="str">
            <v>ADVANCED DATA STRUCTURES</v>
          </cell>
        </row>
        <row r="147">
          <cell r="B147">
            <v>2400032738</v>
          </cell>
          <cell r="C147" t="str">
            <v>SIMHADRI   AKHIL</v>
          </cell>
          <cell r="D147" t="str">
            <v>24CS2255F</v>
          </cell>
          <cell r="E147" t="str">
            <v>L</v>
          </cell>
          <cell r="F147" t="str">
            <v>ADVANCED DATA STRUCTURES</v>
          </cell>
        </row>
        <row r="148">
          <cell r="B148">
            <v>2400032730</v>
          </cell>
          <cell r="C148" t="str">
            <v>SHREYANSH  MISHRA</v>
          </cell>
          <cell r="D148" t="str">
            <v>24CS2227F</v>
          </cell>
          <cell r="E148" t="str">
            <v>L</v>
          </cell>
          <cell r="F148" t="str">
            <v>DATA ANALYTICS AND VISUALIZATION</v>
          </cell>
        </row>
        <row r="149">
          <cell r="B149">
            <v>2400032728</v>
          </cell>
          <cell r="C149" t="str">
            <v>KINJARAPU  S R SURYANARAYANA</v>
          </cell>
          <cell r="D149" t="str">
            <v>24CS2256F</v>
          </cell>
          <cell r="E149" t="str">
            <v>L</v>
          </cell>
          <cell r="F149" t="str">
            <v>FOUNDATIONS OF BLOCK CHAIN ENGINEERING</v>
          </cell>
        </row>
        <row r="150">
          <cell r="B150">
            <v>2400032725</v>
          </cell>
          <cell r="C150" t="str">
            <v>KAVURI  ROHITH</v>
          </cell>
          <cell r="D150" t="str">
            <v>24CS2260F</v>
          </cell>
          <cell r="E150" t="str">
            <v>L</v>
          </cell>
          <cell r="F150" t="str">
            <v>FOUNDATIONS OF CLOUD-NATIVE COMPUTING &amp; DEVOPS</v>
          </cell>
        </row>
        <row r="151">
          <cell r="B151">
            <v>2400032724</v>
          </cell>
          <cell r="C151" t="str">
            <v>ADDANKI SRI  LAKSHMI KRISHNA SWAMI YADAV</v>
          </cell>
          <cell r="D151" t="str">
            <v>24CS2227F</v>
          </cell>
          <cell r="E151" t="str">
            <v>L</v>
          </cell>
          <cell r="F151" t="str">
            <v>DATA ANALYTICS AND VISUALIZATION</v>
          </cell>
        </row>
        <row r="152">
          <cell r="B152">
            <v>2400032723</v>
          </cell>
          <cell r="C152" t="str">
            <v>SIDDHARTH  TAMMINA</v>
          </cell>
          <cell r="D152" t="str">
            <v>24CS2227F</v>
          </cell>
          <cell r="E152" t="str">
            <v>L</v>
          </cell>
          <cell r="F152" t="str">
            <v>DATA ANALYTICS AND VISUALIZATION</v>
          </cell>
        </row>
        <row r="153">
          <cell r="B153">
            <v>2400032720</v>
          </cell>
          <cell r="C153" t="str">
            <v>REBBA GRACE SUJAN</v>
          </cell>
          <cell r="D153" t="str">
            <v>24CS2260F</v>
          </cell>
          <cell r="E153" t="str">
            <v>L</v>
          </cell>
          <cell r="F153" t="str">
            <v>FOUNDATIONS OF CLOUD-NATIVE COMPUTING &amp; DEVOPS</v>
          </cell>
        </row>
        <row r="154">
          <cell r="B154">
            <v>2400032719</v>
          </cell>
          <cell r="C154" t="str">
            <v>A R SAI  PRANOY</v>
          </cell>
          <cell r="D154" t="str">
            <v>24CS2239F</v>
          </cell>
          <cell r="E154" t="str">
            <v>L</v>
          </cell>
          <cell r="F154" t="str">
            <v>SOFTWARE VERIFICATION AND VALIDATION</v>
          </cell>
        </row>
        <row r="155">
          <cell r="B155">
            <v>2400032716</v>
          </cell>
          <cell r="C155" t="str">
            <v>VADDULA KISHAN  AVANISH REDDY</v>
          </cell>
          <cell r="D155" t="str">
            <v>24CS2255F</v>
          </cell>
          <cell r="E155" t="str">
            <v>L</v>
          </cell>
          <cell r="F155" t="str">
            <v>ADVANCED DATA STRUCTURES</v>
          </cell>
        </row>
        <row r="156">
          <cell r="B156">
            <v>2400032715</v>
          </cell>
          <cell r="C156" t="str">
            <v>YENDATI  CHATHURYA</v>
          </cell>
          <cell r="D156" t="str">
            <v>24CS2264F</v>
          </cell>
          <cell r="E156" t="str">
            <v>L</v>
          </cell>
          <cell r="F156" t="str">
            <v>GAME SYSTEMS DESIGN AND DEVELOPMENT</v>
          </cell>
        </row>
        <row r="157">
          <cell r="B157">
            <v>2400032708</v>
          </cell>
          <cell r="C157" t="str">
            <v>NARRA  SHRAVAN</v>
          </cell>
          <cell r="D157" t="str">
            <v>24CS2255F</v>
          </cell>
          <cell r="E157" t="str">
            <v>L</v>
          </cell>
          <cell r="F157" t="str">
            <v>ADVANCED DATA STRUCTURES</v>
          </cell>
        </row>
        <row r="158">
          <cell r="B158">
            <v>2400032702</v>
          </cell>
          <cell r="C158" t="str">
            <v>BALIJEPALLI LOKESH BABU</v>
          </cell>
          <cell r="D158" t="str">
            <v>24CS2255F</v>
          </cell>
          <cell r="E158" t="str">
            <v>L</v>
          </cell>
          <cell r="F158" t="str">
            <v>ADVANCED DATA STRUCTURES</v>
          </cell>
        </row>
        <row r="159">
          <cell r="B159">
            <v>2400032697</v>
          </cell>
          <cell r="C159" t="str">
            <v>PASUPULETI KOWSHIK BABU</v>
          </cell>
          <cell r="D159" t="str">
            <v>24EE2230F</v>
          </cell>
          <cell r="E159" t="str">
            <v>L</v>
          </cell>
          <cell r="F159" t="str">
            <v>ESSENTIALS OF AUTONOMOUS SYSTEMS</v>
          </cell>
        </row>
        <row r="160">
          <cell r="B160">
            <v>2400032696</v>
          </cell>
          <cell r="C160" t="str">
            <v>GUVVALA RAJA MOHAN</v>
          </cell>
          <cell r="D160" t="str">
            <v>24CS2255F</v>
          </cell>
          <cell r="E160" t="str">
            <v>L</v>
          </cell>
          <cell r="F160" t="str">
            <v>ADVANCED DATA STRUCTURES</v>
          </cell>
        </row>
        <row r="161">
          <cell r="B161">
            <v>2400032684</v>
          </cell>
          <cell r="C161" t="str">
            <v>CHEGU  NIHAS</v>
          </cell>
          <cell r="D161" t="str">
            <v>24CS2255F</v>
          </cell>
          <cell r="E161" t="str">
            <v>L</v>
          </cell>
          <cell r="F161" t="str">
            <v>ADVANCED DATA STRUCTURES</v>
          </cell>
        </row>
        <row r="162">
          <cell r="B162">
            <v>2400032682</v>
          </cell>
          <cell r="C162" t="str">
            <v>BAGGU  UPENDRA</v>
          </cell>
          <cell r="D162" t="str">
            <v>24CS2256F</v>
          </cell>
          <cell r="E162" t="str">
            <v>L</v>
          </cell>
          <cell r="F162" t="str">
            <v>FOUNDATIONS OF BLOCK CHAIN ENGINEERING</v>
          </cell>
        </row>
        <row r="163">
          <cell r="B163">
            <v>2400032669</v>
          </cell>
          <cell r="C163" t="str">
            <v>KATRA GADDA DEVESH   CHOWDARY</v>
          </cell>
          <cell r="D163" t="str">
            <v>24CS2258F</v>
          </cell>
          <cell r="E163" t="str">
            <v>L</v>
          </cell>
          <cell r="F163" t="str">
            <v>NATURAL LANGUAGE PROCESSING</v>
          </cell>
        </row>
        <row r="164">
          <cell r="B164">
            <v>2400032653</v>
          </cell>
          <cell r="C164" t="str">
            <v>MACHINENI PURNA  CHANDU</v>
          </cell>
          <cell r="D164" t="str">
            <v>24CS2258F</v>
          </cell>
          <cell r="E164" t="str">
            <v>L</v>
          </cell>
          <cell r="F164" t="str">
            <v>NATURAL LANGUAGE PROCESSING</v>
          </cell>
        </row>
        <row r="165">
          <cell r="B165">
            <v>2400032634</v>
          </cell>
          <cell r="C165" t="str">
            <v>DADI  HASWANTH  SAI</v>
          </cell>
          <cell r="D165" t="str">
            <v>24CS2237F</v>
          </cell>
          <cell r="E165" t="str">
            <v>L</v>
          </cell>
          <cell r="F165" t="str">
            <v>QUANTUM COMPUTING</v>
          </cell>
        </row>
        <row r="166">
          <cell r="B166">
            <v>2400032629</v>
          </cell>
          <cell r="C166" t="str">
            <v>ANJANA  SAI YALAMARTHI</v>
          </cell>
          <cell r="D166" t="str">
            <v>24CS2239F</v>
          </cell>
          <cell r="E166" t="str">
            <v>L</v>
          </cell>
          <cell r="F166" t="str">
            <v>SOFTWARE VERIFICATION AND VALIDATION</v>
          </cell>
        </row>
        <row r="167">
          <cell r="B167">
            <v>2400032625</v>
          </cell>
          <cell r="C167" t="str">
            <v>ARUDRA VENKATESWARA  RAO</v>
          </cell>
          <cell r="D167" t="str">
            <v>24CS2256F</v>
          </cell>
          <cell r="E167" t="str">
            <v>L</v>
          </cell>
          <cell r="F167" t="str">
            <v>FOUNDATIONS OF BLOCK CHAIN ENGINEERING</v>
          </cell>
        </row>
        <row r="168">
          <cell r="B168">
            <v>2400032620</v>
          </cell>
          <cell r="C168" t="str">
            <v>NARRA   MENITHA</v>
          </cell>
          <cell r="D168" t="str">
            <v>24CS2224F</v>
          </cell>
          <cell r="E168" t="str">
            <v>L</v>
          </cell>
          <cell r="F168" t="str">
            <v>CRYPT ANALYSIS AND CYBER DEFENCE</v>
          </cell>
        </row>
        <row r="169">
          <cell r="B169">
            <v>2400032618</v>
          </cell>
          <cell r="C169" t="str">
            <v>VEDULLAPALLI   DEEKSHITHA</v>
          </cell>
          <cell r="D169" t="str">
            <v>24CS2227F</v>
          </cell>
          <cell r="E169" t="str">
            <v>L</v>
          </cell>
          <cell r="F169" t="str">
            <v>DATA ANALYTICS AND VISUALIZATION</v>
          </cell>
        </row>
        <row r="170">
          <cell r="B170">
            <v>2400032610</v>
          </cell>
          <cell r="C170" t="str">
            <v>VELPULA  ANISH</v>
          </cell>
          <cell r="D170" t="str">
            <v>24CS2237F</v>
          </cell>
          <cell r="E170" t="str">
            <v>L</v>
          </cell>
          <cell r="F170" t="str">
            <v>QUANTUM COMPUTING</v>
          </cell>
        </row>
        <row r="171">
          <cell r="B171">
            <v>2400032608</v>
          </cell>
          <cell r="C171" t="str">
            <v>MUSANI CHENNAKESHAVA  REDDY</v>
          </cell>
          <cell r="D171" t="str">
            <v>24CS2224F</v>
          </cell>
          <cell r="E171" t="str">
            <v>L</v>
          </cell>
          <cell r="F171" t="str">
            <v>CRYPT ANALYSIS AND CYBER DEFENCE</v>
          </cell>
        </row>
        <row r="172">
          <cell r="B172">
            <v>2400032607</v>
          </cell>
          <cell r="C172" t="str">
            <v>KALAGARA  VENKATA  RAMAN</v>
          </cell>
          <cell r="D172" t="str">
            <v>24CS2258F</v>
          </cell>
          <cell r="E172" t="str">
            <v>L</v>
          </cell>
          <cell r="F172" t="str">
            <v>NATURAL LANGUAGE PROCESSING</v>
          </cell>
        </row>
        <row r="173">
          <cell r="B173">
            <v>2400032604</v>
          </cell>
          <cell r="C173" t="str">
            <v>GUDIVADA GRISHMA  SUJITHA</v>
          </cell>
          <cell r="D173" t="str">
            <v>24CS2224F</v>
          </cell>
          <cell r="E173" t="str">
            <v>L</v>
          </cell>
          <cell r="F173" t="str">
            <v>CRYPT ANALYSIS AND CYBER DEFENCE</v>
          </cell>
        </row>
        <row r="174">
          <cell r="B174">
            <v>2400032601</v>
          </cell>
          <cell r="C174" t="str">
            <v>DHAVALA VEDA SRI  DEEKSHIT</v>
          </cell>
          <cell r="D174" t="str">
            <v>24CS2255F</v>
          </cell>
          <cell r="E174" t="str">
            <v>L</v>
          </cell>
          <cell r="F174" t="str">
            <v>ADVANCED DATA STRUCTURES</v>
          </cell>
        </row>
        <row r="175">
          <cell r="B175">
            <v>2400032591</v>
          </cell>
          <cell r="C175" t="str">
            <v>YALLANKI  TEJASRI</v>
          </cell>
          <cell r="D175" t="str">
            <v>24CS2224F</v>
          </cell>
          <cell r="E175" t="str">
            <v>L</v>
          </cell>
          <cell r="F175" t="str">
            <v>CRYPT ANALYSIS AND CYBER DEFENCE</v>
          </cell>
        </row>
        <row r="176">
          <cell r="B176">
            <v>2400032586</v>
          </cell>
          <cell r="C176" t="str">
            <v>ABOTHU  LASYA</v>
          </cell>
          <cell r="D176" t="str">
            <v>24CS2237F</v>
          </cell>
          <cell r="E176" t="str">
            <v>L</v>
          </cell>
          <cell r="F176" t="str">
            <v>QUANTUM COMPUTING</v>
          </cell>
        </row>
        <row r="177">
          <cell r="B177">
            <v>2400032574</v>
          </cell>
          <cell r="C177" t="str">
            <v>BOBBA  VINAY REDDY</v>
          </cell>
          <cell r="D177" t="str">
            <v>24CS2256F</v>
          </cell>
          <cell r="E177" t="str">
            <v>L</v>
          </cell>
          <cell r="F177" t="str">
            <v>FOUNDATIONS OF BLOCK CHAIN ENGINEERING</v>
          </cell>
        </row>
        <row r="178">
          <cell r="B178">
            <v>2400032572</v>
          </cell>
          <cell r="C178" t="str">
            <v>PAPINENI  POOJITHA</v>
          </cell>
          <cell r="D178" t="str">
            <v>24CS2227F</v>
          </cell>
          <cell r="E178" t="str">
            <v>L</v>
          </cell>
          <cell r="F178" t="str">
            <v>DATA ANALYTICS AND VISUALIZATION</v>
          </cell>
        </row>
        <row r="179">
          <cell r="B179">
            <v>2400032562</v>
          </cell>
          <cell r="C179" t="str">
            <v>JONNADULA KEERTHI VENKAT</v>
          </cell>
          <cell r="D179" t="str">
            <v>24CS2260F</v>
          </cell>
          <cell r="E179" t="str">
            <v>L</v>
          </cell>
          <cell r="F179" t="str">
            <v>FOUNDATIONS OF CLOUD-NATIVE COMPUTING &amp; DEVOPS</v>
          </cell>
        </row>
        <row r="180">
          <cell r="B180">
            <v>2400032560</v>
          </cell>
          <cell r="C180" t="str">
            <v>DEVIREDDY  GANGA DHANUNJAYA REDDY</v>
          </cell>
          <cell r="D180" t="str">
            <v>24CS2255F</v>
          </cell>
          <cell r="E180" t="str">
            <v>L</v>
          </cell>
          <cell r="F180" t="str">
            <v>ADVANCED DATA STRUCTURES</v>
          </cell>
        </row>
        <row r="181">
          <cell r="B181">
            <v>2400032559</v>
          </cell>
          <cell r="C181" t="str">
            <v>PRAKASH  KUMAR</v>
          </cell>
          <cell r="D181" t="str">
            <v>24CS2256F</v>
          </cell>
          <cell r="E181" t="str">
            <v>L</v>
          </cell>
          <cell r="F181" t="str">
            <v>FOUNDATIONS OF BLOCK CHAIN ENGINEERING</v>
          </cell>
        </row>
        <row r="182">
          <cell r="B182">
            <v>2400032554</v>
          </cell>
          <cell r="C182" t="str">
            <v>NAGA VYSHNAVI  KONGITALA</v>
          </cell>
          <cell r="D182" t="str">
            <v>24CS2255F</v>
          </cell>
          <cell r="E182" t="str">
            <v>L</v>
          </cell>
          <cell r="F182" t="str">
            <v>ADVANCED DATA STRUCTURES</v>
          </cell>
        </row>
        <row r="183">
          <cell r="B183">
            <v>2400032543</v>
          </cell>
          <cell r="C183" t="str">
            <v>RAMINENI  MAHESH</v>
          </cell>
          <cell r="D183" t="str">
            <v>24CS2237F</v>
          </cell>
          <cell r="E183" t="str">
            <v>L</v>
          </cell>
          <cell r="F183" t="str">
            <v>QUANTUM COMPUTING</v>
          </cell>
        </row>
        <row r="184">
          <cell r="B184">
            <v>2400032542</v>
          </cell>
          <cell r="C184" t="str">
            <v>BATTU HARI  PRIYA</v>
          </cell>
          <cell r="D184" t="str">
            <v>24CS2255F</v>
          </cell>
          <cell r="E184" t="str">
            <v>L</v>
          </cell>
          <cell r="F184" t="str">
            <v>ADVANCED DATA STRUCTURES</v>
          </cell>
        </row>
        <row r="185">
          <cell r="B185">
            <v>2400032535</v>
          </cell>
          <cell r="C185" t="str">
            <v>YEKKUDU CHAKRI  PRASAD</v>
          </cell>
          <cell r="D185" t="str">
            <v>24CS2256F</v>
          </cell>
          <cell r="E185" t="str">
            <v>L</v>
          </cell>
          <cell r="F185" t="str">
            <v>FOUNDATIONS OF BLOCK CHAIN ENGINEERING</v>
          </cell>
        </row>
        <row r="186">
          <cell r="B186">
            <v>2400032530</v>
          </cell>
          <cell r="C186" t="str">
            <v>MANNEM BHANU VENKATESH</v>
          </cell>
          <cell r="D186" t="str">
            <v>24CS2255F</v>
          </cell>
          <cell r="E186" t="str">
            <v>L</v>
          </cell>
          <cell r="F186" t="str">
            <v>ADVANCED DATA STRUCTURES</v>
          </cell>
        </row>
        <row r="187">
          <cell r="B187">
            <v>2400032520</v>
          </cell>
          <cell r="C187" t="str">
            <v>ATMAKURI SAI  PRIYANKA</v>
          </cell>
          <cell r="D187" t="str">
            <v>24CS2255F</v>
          </cell>
          <cell r="E187" t="str">
            <v>L</v>
          </cell>
          <cell r="F187" t="str">
            <v>ADVANCED DATA STRUCTURES</v>
          </cell>
        </row>
        <row r="188">
          <cell r="B188">
            <v>2400032513</v>
          </cell>
          <cell r="C188" t="str">
            <v>NAGIREDDY  VEDA  SIVA KUMAR</v>
          </cell>
          <cell r="D188" t="str">
            <v>24CS2239F</v>
          </cell>
          <cell r="E188" t="str">
            <v>L</v>
          </cell>
          <cell r="F188" t="str">
            <v>SOFTWARE VERIFICATION AND VALIDATION</v>
          </cell>
        </row>
        <row r="189">
          <cell r="B189">
            <v>2400032510</v>
          </cell>
          <cell r="C189" t="str">
            <v>GANGAPURAM  PRASANTH</v>
          </cell>
          <cell r="D189" t="str">
            <v>24CS2224F</v>
          </cell>
          <cell r="E189" t="str">
            <v>L</v>
          </cell>
          <cell r="F189" t="str">
            <v>CRYPT ANALYSIS AND CYBER DEFENCE</v>
          </cell>
        </row>
        <row r="190">
          <cell r="B190">
            <v>2400032508</v>
          </cell>
          <cell r="C190" t="str">
            <v>GOLLA  NARENDRA</v>
          </cell>
          <cell r="D190" t="str">
            <v>24CS2255F</v>
          </cell>
          <cell r="E190" t="str">
            <v>L</v>
          </cell>
          <cell r="F190" t="str">
            <v>ADVANCED DATA STRUCTURES</v>
          </cell>
        </row>
        <row r="191">
          <cell r="B191">
            <v>2400032494</v>
          </cell>
          <cell r="C191" t="str">
            <v>YANDAMURI KARUNYA ABHIRAMI</v>
          </cell>
          <cell r="D191" t="str">
            <v>24CS2224F</v>
          </cell>
          <cell r="E191" t="str">
            <v>L</v>
          </cell>
          <cell r="F191" t="str">
            <v>CRYPT ANALYSIS AND CYBER DEFENCE</v>
          </cell>
        </row>
        <row r="192">
          <cell r="B192">
            <v>2400032487</v>
          </cell>
          <cell r="C192" t="str">
            <v>TARIGOPULA    JAYA VENKATA PATHI</v>
          </cell>
          <cell r="D192" t="str">
            <v>24CS2227F</v>
          </cell>
          <cell r="E192" t="str">
            <v>L</v>
          </cell>
          <cell r="F192" t="str">
            <v>DATA ANALYTICS AND VISUALIZATION</v>
          </cell>
        </row>
        <row r="193">
          <cell r="B193">
            <v>2400032483</v>
          </cell>
          <cell r="C193" t="str">
            <v>AAKARAPU  GOPIKA SAI</v>
          </cell>
          <cell r="D193" t="str">
            <v>24CS2256F</v>
          </cell>
          <cell r="E193" t="str">
            <v>L</v>
          </cell>
          <cell r="F193" t="str">
            <v>FOUNDATIONS OF BLOCK CHAIN ENGINEERING</v>
          </cell>
        </row>
        <row r="194">
          <cell r="B194">
            <v>2400032480</v>
          </cell>
          <cell r="C194" t="str">
            <v>VALIREDDY  BHAVITHA</v>
          </cell>
          <cell r="D194" t="str">
            <v>24CS2256F</v>
          </cell>
          <cell r="E194" t="str">
            <v>L</v>
          </cell>
          <cell r="F194" t="str">
            <v>FOUNDATIONS OF BLOCK CHAIN ENGINEERING</v>
          </cell>
        </row>
        <row r="195">
          <cell r="B195">
            <v>2400032478</v>
          </cell>
          <cell r="C195" t="str">
            <v>LANKALAPALLI  SURYA TEJA</v>
          </cell>
          <cell r="D195" t="str">
            <v>24CS2255F</v>
          </cell>
          <cell r="E195" t="str">
            <v>L</v>
          </cell>
          <cell r="F195" t="str">
            <v>ADVANCED DATA STRUCTURES</v>
          </cell>
        </row>
        <row r="196">
          <cell r="B196">
            <v>2400032476</v>
          </cell>
          <cell r="C196" t="str">
            <v>NARAPURAM  NIDHI</v>
          </cell>
          <cell r="D196" t="str">
            <v>24CS2256F</v>
          </cell>
          <cell r="E196" t="str">
            <v>L</v>
          </cell>
          <cell r="F196" t="str">
            <v>FOUNDATIONS OF BLOCK CHAIN ENGINEERING</v>
          </cell>
        </row>
        <row r="197">
          <cell r="B197">
            <v>2400032472</v>
          </cell>
          <cell r="C197" t="str">
            <v>SHAIK  SHABREEN</v>
          </cell>
          <cell r="D197" t="str">
            <v>24CS2256F</v>
          </cell>
          <cell r="E197" t="str">
            <v>L</v>
          </cell>
          <cell r="F197" t="str">
            <v>FOUNDATIONS OF BLOCK CHAIN ENGINEERING</v>
          </cell>
        </row>
        <row r="198">
          <cell r="B198">
            <v>2400032469</v>
          </cell>
          <cell r="C198" t="str">
            <v>KOTALA  ANIL</v>
          </cell>
          <cell r="D198" t="str">
            <v>24CS2227F</v>
          </cell>
          <cell r="E198" t="str">
            <v>L</v>
          </cell>
          <cell r="F198" t="str">
            <v>DATA ANALYTICS AND VISUALIZATION</v>
          </cell>
        </row>
        <row r="199">
          <cell r="B199">
            <v>2400032466</v>
          </cell>
          <cell r="C199" t="str">
            <v>KULLU VENKATA PALLAVI</v>
          </cell>
          <cell r="D199" t="str">
            <v>24CS2260F</v>
          </cell>
          <cell r="E199" t="str">
            <v>L</v>
          </cell>
          <cell r="F199" t="str">
            <v>FOUNDATIONS OF CLOUD-NATIVE COMPUTING &amp; DEVOPS</v>
          </cell>
        </row>
        <row r="200">
          <cell r="B200">
            <v>2400032458</v>
          </cell>
          <cell r="C200" t="str">
            <v>PAMARTHI  NAGA KARTHIKEYAN</v>
          </cell>
          <cell r="D200" t="str">
            <v>24CS2255F</v>
          </cell>
          <cell r="E200" t="str">
            <v>L</v>
          </cell>
          <cell r="F200" t="str">
            <v>ADVANCED DATA STRUCTURES</v>
          </cell>
        </row>
        <row r="201">
          <cell r="B201">
            <v>2400032457</v>
          </cell>
          <cell r="C201" t="str">
            <v>YETUKURI  KARTHIKA</v>
          </cell>
          <cell r="D201" t="str">
            <v>24CS2255F</v>
          </cell>
          <cell r="E201" t="str">
            <v>L</v>
          </cell>
          <cell r="F201" t="str">
            <v>ADVANCED DATA STRUCTURES</v>
          </cell>
        </row>
        <row r="202">
          <cell r="B202">
            <v>2400032455</v>
          </cell>
          <cell r="C202" t="str">
            <v>PONNAGANTI DEVI SRI ISWARYA</v>
          </cell>
          <cell r="D202" t="str">
            <v>24CS2224F</v>
          </cell>
          <cell r="E202" t="str">
            <v>L</v>
          </cell>
          <cell r="F202" t="str">
            <v>CRYPT ANALYSIS AND CYBER DEFENCE</v>
          </cell>
        </row>
        <row r="203">
          <cell r="B203">
            <v>2400032449</v>
          </cell>
          <cell r="C203" t="str">
            <v>SHAIK  ALTHAF AHAMMAD</v>
          </cell>
          <cell r="D203" t="str">
            <v>24CS2237F</v>
          </cell>
          <cell r="E203" t="str">
            <v>L</v>
          </cell>
          <cell r="F203" t="str">
            <v>QUANTUM COMPUTING</v>
          </cell>
        </row>
        <row r="204">
          <cell r="B204">
            <v>2400032444</v>
          </cell>
          <cell r="C204" t="str">
            <v>VANDANA  PRANAYA</v>
          </cell>
          <cell r="D204" t="str">
            <v>24CS2255F</v>
          </cell>
          <cell r="E204" t="str">
            <v>L</v>
          </cell>
          <cell r="F204" t="str">
            <v>ADVANCED DATA STRUCTURES</v>
          </cell>
        </row>
        <row r="205">
          <cell r="B205">
            <v>2400032443</v>
          </cell>
          <cell r="C205" t="str">
            <v>SIVAPURAM VEDA HASINI</v>
          </cell>
          <cell r="D205" t="str">
            <v>24CS2256F</v>
          </cell>
          <cell r="E205" t="str">
            <v>L</v>
          </cell>
          <cell r="F205" t="str">
            <v>FOUNDATIONS OF BLOCK CHAIN ENGINEERING</v>
          </cell>
        </row>
        <row r="206">
          <cell r="B206">
            <v>2400032439</v>
          </cell>
          <cell r="C206" t="str">
            <v>MAGULURI  POORNA PRAVALLIKA</v>
          </cell>
          <cell r="D206" t="str">
            <v>24CS2239F</v>
          </cell>
          <cell r="E206" t="str">
            <v>L</v>
          </cell>
          <cell r="F206" t="str">
            <v>SOFTWARE VERIFICATION AND VALIDATION</v>
          </cell>
        </row>
        <row r="207">
          <cell r="B207">
            <v>2400032434</v>
          </cell>
          <cell r="C207" t="str">
            <v>HEMADRI  REDDY N S</v>
          </cell>
          <cell r="D207" t="str">
            <v>24CS2237F</v>
          </cell>
          <cell r="E207" t="str">
            <v>L</v>
          </cell>
          <cell r="F207" t="str">
            <v>QUANTUM COMPUTING</v>
          </cell>
        </row>
        <row r="208">
          <cell r="B208">
            <v>2400032424</v>
          </cell>
          <cell r="C208" t="str">
            <v>YALAMARTHI  BHARGAV</v>
          </cell>
          <cell r="D208" t="str">
            <v>24CS2227F</v>
          </cell>
          <cell r="E208" t="str">
            <v>L</v>
          </cell>
          <cell r="F208" t="str">
            <v>DATA ANALYTICS AND VISUALIZATION</v>
          </cell>
        </row>
        <row r="209">
          <cell r="B209">
            <v>2400032421</v>
          </cell>
          <cell r="C209" t="str">
            <v>GANAMULA   JASMIN</v>
          </cell>
          <cell r="D209" t="str">
            <v>24CS2260F</v>
          </cell>
          <cell r="E209" t="str">
            <v>L</v>
          </cell>
          <cell r="F209" t="str">
            <v>FOUNDATIONS OF CLOUD-NATIVE COMPUTING &amp; DEVOPS</v>
          </cell>
        </row>
        <row r="210">
          <cell r="B210">
            <v>2400032414</v>
          </cell>
          <cell r="C210" t="str">
            <v>VEMULA  BADE SUMANTH</v>
          </cell>
          <cell r="D210" t="str">
            <v>24CS2239F</v>
          </cell>
          <cell r="E210" t="str">
            <v>L</v>
          </cell>
          <cell r="F210" t="str">
            <v>SOFTWARE VERIFICATION AND VALIDATION</v>
          </cell>
        </row>
        <row r="211">
          <cell r="B211">
            <v>2400032412</v>
          </cell>
          <cell r="C211" t="str">
            <v>KARLAPATI  ANJANI KUMAR</v>
          </cell>
          <cell r="D211" t="str">
            <v>24EE2230F</v>
          </cell>
          <cell r="E211" t="str">
            <v>L</v>
          </cell>
          <cell r="F211" t="str">
            <v>ESSENTIALS OF AUTONOMOUS SYSTEMS</v>
          </cell>
        </row>
        <row r="212">
          <cell r="B212">
            <v>2400032407</v>
          </cell>
          <cell r="C212" t="str">
            <v>KALAGARA PURNA VENKATA SEKHAR</v>
          </cell>
          <cell r="D212" t="str">
            <v>24CS2255F</v>
          </cell>
          <cell r="E212" t="str">
            <v>L</v>
          </cell>
          <cell r="F212" t="str">
            <v>ADVANCED DATA STRUCTURES</v>
          </cell>
        </row>
        <row r="213">
          <cell r="B213">
            <v>2400032395</v>
          </cell>
          <cell r="C213" t="str">
            <v>JYOTHI   SUMITRA DEVI VADDI</v>
          </cell>
          <cell r="D213" t="str">
            <v>24CS2255F</v>
          </cell>
          <cell r="E213" t="str">
            <v>L</v>
          </cell>
          <cell r="F213" t="str">
            <v>ADVANCED DATA STRUCTURES</v>
          </cell>
        </row>
        <row r="214">
          <cell r="B214">
            <v>2400032384</v>
          </cell>
          <cell r="C214" t="str">
            <v>KAGOLANU RATNA PUJITHA</v>
          </cell>
          <cell r="D214" t="str">
            <v>24CS2256F</v>
          </cell>
          <cell r="E214" t="str">
            <v>L</v>
          </cell>
          <cell r="F214" t="str">
            <v>FOUNDATIONS OF BLOCK CHAIN ENGINEERING</v>
          </cell>
        </row>
        <row r="215">
          <cell r="B215">
            <v>2400032383</v>
          </cell>
          <cell r="C215" t="str">
            <v xml:space="preserve">KOTAPOTHULA  V N S RAGHUVEER </v>
          </cell>
          <cell r="D215" t="str">
            <v>24CS2264F</v>
          </cell>
          <cell r="E215" t="str">
            <v>L</v>
          </cell>
          <cell r="F215" t="str">
            <v>GAME SYSTEMS DESIGN AND DEVELOPMENT</v>
          </cell>
        </row>
        <row r="216">
          <cell r="B216">
            <v>2400032374</v>
          </cell>
          <cell r="C216" t="str">
            <v>MATTAPARTHI  SAI SAHITHYA</v>
          </cell>
          <cell r="D216" t="str">
            <v>24CS2227F</v>
          </cell>
          <cell r="E216" t="str">
            <v>L</v>
          </cell>
          <cell r="F216" t="str">
            <v>DATA ANALYTICS AND VISUALIZATION</v>
          </cell>
        </row>
        <row r="217">
          <cell r="B217">
            <v>2400032366</v>
          </cell>
          <cell r="C217" t="str">
            <v>NOSSAM   SUMANTH REDDY</v>
          </cell>
          <cell r="D217" t="str">
            <v>24CS2256F</v>
          </cell>
          <cell r="E217" t="str">
            <v>L</v>
          </cell>
          <cell r="F217" t="str">
            <v>FOUNDATIONS OF BLOCK CHAIN ENGINEERING</v>
          </cell>
        </row>
        <row r="218">
          <cell r="B218">
            <v>2400032365</v>
          </cell>
          <cell r="C218" t="str">
            <v>M  DHAMOTHIRAN</v>
          </cell>
          <cell r="D218" t="str">
            <v>24CS2224F</v>
          </cell>
          <cell r="E218" t="str">
            <v>L</v>
          </cell>
          <cell r="F218" t="str">
            <v>CRYPT ANALYSIS AND CYBER DEFENCE</v>
          </cell>
        </row>
        <row r="219">
          <cell r="B219">
            <v>2400032362</v>
          </cell>
          <cell r="C219" t="str">
            <v>PANDILLAPALLI  YASASWINI</v>
          </cell>
          <cell r="D219" t="str">
            <v>24CS2227F</v>
          </cell>
          <cell r="E219" t="str">
            <v>L</v>
          </cell>
          <cell r="F219" t="str">
            <v>DATA ANALYTICS AND VISUALIZATION</v>
          </cell>
        </row>
        <row r="220">
          <cell r="B220">
            <v>2400032361</v>
          </cell>
          <cell r="C220" t="str">
            <v>MORLA  AASRITHA</v>
          </cell>
          <cell r="D220" t="str">
            <v>24CS2227F</v>
          </cell>
          <cell r="E220" t="str">
            <v>L</v>
          </cell>
          <cell r="F220" t="str">
            <v>DATA ANALYTICS AND VISUALIZATION</v>
          </cell>
        </row>
        <row r="221">
          <cell r="B221">
            <v>2400032360</v>
          </cell>
          <cell r="C221" t="str">
            <v>KHAMMAMPATI  SAI  SRUTHIKA</v>
          </cell>
          <cell r="D221" t="str">
            <v>24CS2237F</v>
          </cell>
          <cell r="E221" t="str">
            <v>L</v>
          </cell>
          <cell r="F221" t="str">
            <v>QUANTUM COMPUTING</v>
          </cell>
        </row>
        <row r="222">
          <cell r="B222">
            <v>2400032354</v>
          </cell>
          <cell r="C222" t="str">
            <v>ARUMALLA   SHARVAN REDDY</v>
          </cell>
          <cell r="D222" t="str">
            <v>24CS2239F</v>
          </cell>
          <cell r="E222" t="str">
            <v>L</v>
          </cell>
          <cell r="F222" t="str">
            <v>SOFTWARE VERIFICATION AND VALIDATION</v>
          </cell>
        </row>
        <row r="223">
          <cell r="B223">
            <v>2400032352</v>
          </cell>
          <cell r="C223" t="str">
            <v>DHANAMKULA   LAKSHMAN</v>
          </cell>
          <cell r="D223" t="str">
            <v>24CS2237F</v>
          </cell>
          <cell r="E223" t="str">
            <v>L</v>
          </cell>
          <cell r="F223" t="str">
            <v>QUANTUM COMPUTING</v>
          </cell>
        </row>
        <row r="224">
          <cell r="B224">
            <v>2400032348</v>
          </cell>
          <cell r="C224" t="str">
            <v>SHAIK MAHAMMAD MUJEEF</v>
          </cell>
          <cell r="D224" t="str">
            <v>24CS2221F</v>
          </cell>
          <cell r="E224" t="str">
            <v>L</v>
          </cell>
          <cell r="F224" t="str">
            <v>UX DESIGN</v>
          </cell>
        </row>
        <row r="225">
          <cell r="B225">
            <v>2400032342</v>
          </cell>
          <cell r="C225" t="str">
            <v>SHAIK  ABDUL MUKHID</v>
          </cell>
          <cell r="D225" t="str">
            <v>24CS2221F</v>
          </cell>
          <cell r="E225" t="str">
            <v>L</v>
          </cell>
          <cell r="F225" t="str">
            <v>UX DESIGN</v>
          </cell>
        </row>
        <row r="226">
          <cell r="B226">
            <v>2400032341</v>
          </cell>
          <cell r="C226" t="str">
            <v>BOLLABOYNA RAJ  KUMAR</v>
          </cell>
          <cell r="D226" t="str">
            <v>24CS2256F</v>
          </cell>
          <cell r="E226" t="str">
            <v>L</v>
          </cell>
          <cell r="F226" t="str">
            <v>FOUNDATIONS OF BLOCK CHAIN ENGINEERING</v>
          </cell>
        </row>
        <row r="227">
          <cell r="B227">
            <v>2400032338</v>
          </cell>
          <cell r="C227" t="str">
            <v>MANYAM  RAKESH</v>
          </cell>
          <cell r="D227" t="str">
            <v>24CS2255F</v>
          </cell>
          <cell r="E227" t="str">
            <v>L</v>
          </cell>
          <cell r="F227" t="str">
            <v>ADVANCED DATA STRUCTURES</v>
          </cell>
        </row>
        <row r="228">
          <cell r="B228">
            <v>2400032334</v>
          </cell>
          <cell r="C228" t="str">
            <v>MALLEMOGGALA SAHITH  SHANKAR</v>
          </cell>
          <cell r="D228" t="str">
            <v>24EE2230F</v>
          </cell>
          <cell r="E228" t="str">
            <v>L</v>
          </cell>
          <cell r="F228" t="str">
            <v>ESSENTIALS OF AUTONOMOUS SYSTEMS</v>
          </cell>
        </row>
        <row r="229">
          <cell r="B229">
            <v>2400032321</v>
          </cell>
          <cell r="C229" t="str">
            <v>VAKALAPUDI  GUNA  SHANKAR SAI</v>
          </cell>
          <cell r="D229" t="str">
            <v>24CS2221F</v>
          </cell>
          <cell r="E229" t="str">
            <v>L</v>
          </cell>
          <cell r="F229" t="str">
            <v>UX DESIGN</v>
          </cell>
        </row>
        <row r="230">
          <cell r="B230">
            <v>2400032320</v>
          </cell>
          <cell r="C230" t="str">
            <v>VEMPALA  MOHAN SAI</v>
          </cell>
          <cell r="D230" t="str">
            <v>24CS2237F</v>
          </cell>
          <cell r="E230" t="str">
            <v>L</v>
          </cell>
          <cell r="F230" t="str">
            <v>QUANTUM COMPUTING</v>
          </cell>
        </row>
        <row r="231">
          <cell r="B231">
            <v>2400032312</v>
          </cell>
          <cell r="C231" t="str">
            <v>BANDI  MAHI VEERENDRA</v>
          </cell>
          <cell r="D231" t="str">
            <v>24CS2256F</v>
          </cell>
          <cell r="E231" t="str">
            <v>L</v>
          </cell>
          <cell r="F231" t="str">
            <v>FOUNDATIONS OF BLOCK CHAIN ENGINEERING</v>
          </cell>
        </row>
        <row r="232">
          <cell r="B232">
            <v>2400032310</v>
          </cell>
          <cell r="C232" t="str">
            <v>GUTTIKONDA  MAHESH VARDHAN</v>
          </cell>
          <cell r="D232" t="str">
            <v>24CS2255F</v>
          </cell>
          <cell r="E232" t="str">
            <v>L</v>
          </cell>
          <cell r="F232" t="str">
            <v>ADVANCED DATA STRUCTURES</v>
          </cell>
        </row>
        <row r="233">
          <cell r="B233">
            <v>2400032289</v>
          </cell>
          <cell r="C233" t="str">
            <v>PENUMURTHI  BHARANI KUMAR</v>
          </cell>
          <cell r="D233" t="str">
            <v>24CS2256F</v>
          </cell>
          <cell r="E233" t="str">
            <v>L</v>
          </cell>
          <cell r="F233" t="str">
            <v>FOUNDATIONS OF BLOCK CHAIN ENGINEERING</v>
          </cell>
        </row>
        <row r="234">
          <cell r="B234">
            <v>2400032288</v>
          </cell>
          <cell r="C234" t="str">
            <v>TUTIKA  MEGHANA</v>
          </cell>
          <cell r="D234" t="str">
            <v>24CS2255F</v>
          </cell>
          <cell r="E234" t="str">
            <v>L</v>
          </cell>
          <cell r="F234" t="str">
            <v>ADVANCED DATA STRUCTURES</v>
          </cell>
        </row>
        <row r="235">
          <cell r="B235">
            <v>2400032287</v>
          </cell>
          <cell r="C235" t="str">
            <v>MEKA   SAHASRA</v>
          </cell>
          <cell r="D235" t="str">
            <v>24CS2256F</v>
          </cell>
          <cell r="E235" t="str">
            <v>L</v>
          </cell>
          <cell r="F235" t="str">
            <v>FOUNDATIONS OF BLOCK CHAIN ENGINEERING</v>
          </cell>
        </row>
        <row r="236">
          <cell r="B236">
            <v>2400032282</v>
          </cell>
          <cell r="C236" t="str">
            <v>GURRAM  TEJASWINI</v>
          </cell>
          <cell r="D236" t="str">
            <v>24CS2256F</v>
          </cell>
          <cell r="E236" t="str">
            <v>L</v>
          </cell>
          <cell r="F236" t="str">
            <v>FOUNDATIONS OF BLOCK CHAIN ENGINEERING</v>
          </cell>
        </row>
        <row r="237">
          <cell r="B237">
            <v>2400032281</v>
          </cell>
          <cell r="C237" t="str">
            <v>KUPPA  RAMYA SREE</v>
          </cell>
          <cell r="D237" t="str">
            <v>24CS2221F</v>
          </cell>
          <cell r="E237" t="str">
            <v>L</v>
          </cell>
          <cell r="F237" t="str">
            <v>UX DESIGN</v>
          </cell>
        </row>
        <row r="238">
          <cell r="B238">
            <v>2400032280</v>
          </cell>
          <cell r="C238" t="str">
            <v>MAMILLAPALLI  VARSHITHA</v>
          </cell>
          <cell r="D238" t="str">
            <v>24CS2239F</v>
          </cell>
          <cell r="E238" t="str">
            <v>L</v>
          </cell>
          <cell r="F238" t="str">
            <v>SOFTWARE VERIFICATION AND VALIDATION</v>
          </cell>
        </row>
        <row r="239">
          <cell r="B239">
            <v>2400032273</v>
          </cell>
          <cell r="C239" t="str">
            <v>KAMIREDDY  LAKSHMI PRIYA</v>
          </cell>
          <cell r="D239" t="str">
            <v>24CS2255F</v>
          </cell>
          <cell r="E239" t="str">
            <v>L</v>
          </cell>
          <cell r="F239" t="str">
            <v>ADVANCED DATA STRUCTURES</v>
          </cell>
        </row>
        <row r="240">
          <cell r="B240">
            <v>2400032262</v>
          </cell>
          <cell r="C240" t="str">
            <v>MASHETTI  KARTHIK</v>
          </cell>
          <cell r="D240" t="str">
            <v>24CS2255F</v>
          </cell>
          <cell r="E240" t="str">
            <v>L</v>
          </cell>
          <cell r="F240" t="str">
            <v>ADVANCED DATA STRUCTURES</v>
          </cell>
        </row>
        <row r="241">
          <cell r="B241">
            <v>2400032261</v>
          </cell>
          <cell r="C241" t="str">
            <v>MANNEM  SASI VEDHAVATHI</v>
          </cell>
          <cell r="D241" t="str">
            <v>24CS2260F</v>
          </cell>
          <cell r="E241" t="str">
            <v>L</v>
          </cell>
          <cell r="F241" t="str">
            <v>FOUNDATIONS OF CLOUD-NATIVE COMPUTING &amp; DEVOPS</v>
          </cell>
        </row>
        <row r="242">
          <cell r="B242">
            <v>2400032252</v>
          </cell>
          <cell r="C242" t="str">
            <v>ALLADA  NAMRATHA SRI</v>
          </cell>
          <cell r="D242" t="str">
            <v>24CS2260F</v>
          </cell>
          <cell r="E242" t="str">
            <v>L</v>
          </cell>
          <cell r="F242" t="str">
            <v>FOUNDATIONS OF CLOUD-NATIVE COMPUTING &amp; DEVOPS</v>
          </cell>
        </row>
        <row r="243">
          <cell r="B243">
            <v>2400032249</v>
          </cell>
          <cell r="C243" t="str">
            <v>GANNIREDDY  BHAVYA AKHILA</v>
          </cell>
          <cell r="D243" t="str">
            <v>24CS2256F</v>
          </cell>
          <cell r="E243" t="str">
            <v>L</v>
          </cell>
          <cell r="F243" t="str">
            <v>FOUNDATIONS OF BLOCK CHAIN ENGINEERING</v>
          </cell>
        </row>
        <row r="244">
          <cell r="B244">
            <v>2400032242</v>
          </cell>
          <cell r="C244" t="str">
            <v>RAMISETY MOHAN  MOURYA</v>
          </cell>
          <cell r="D244" t="str">
            <v>24CS2239F</v>
          </cell>
          <cell r="E244" t="str">
            <v>L</v>
          </cell>
          <cell r="F244" t="str">
            <v>SOFTWARE VERIFICATION AND VALIDATION</v>
          </cell>
        </row>
        <row r="245">
          <cell r="B245">
            <v>2400032241</v>
          </cell>
          <cell r="C245" t="str">
            <v>SRUNGARAPU  SAI VAINAVI</v>
          </cell>
          <cell r="D245" t="str">
            <v>24CS2221F</v>
          </cell>
          <cell r="E245" t="str">
            <v>L</v>
          </cell>
          <cell r="F245" t="str">
            <v>UX DESIGN</v>
          </cell>
        </row>
        <row r="246">
          <cell r="B246">
            <v>2400032236</v>
          </cell>
          <cell r="C246" t="str">
            <v>YARASINGU MANI DHEERAJ</v>
          </cell>
          <cell r="D246" t="str">
            <v>24CS2224F</v>
          </cell>
          <cell r="E246" t="str">
            <v>L</v>
          </cell>
          <cell r="F246" t="str">
            <v>CRYPT ANALYSIS AND CYBER DEFENCE</v>
          </cell>
        </row>
        <row r="247">
          <cell r="B247">
            <v>2400032224</v>
          </cell>
          <cell r="C247" t="str">
            <v>PENMETSA  SIRISHA VARMA</v>
          </cell>
          <cell r="D247" t="str">
            <v>24CS2258F</v>
          </cell>
          <cell r="E247" t="str">
            <v>L</v>
          </cell>
          <cell r="F247" t="str">
            <v>NATURAL LANGUAGE PROCESSING</v>
          </cell>
        </row>
        <row r="248">
          <cell r="B248">
            <v>2400032221</v>
          </cell>
          <cell r="C248" t="str">
            <v>YATIRAJULA  HARIKA</v>
          </cell>
          <cell r="D248" t="str">
            <v>24CS2221F</v>
          </cell>
          <cell r="E248" t="str">
            <v>L</v>
          </cell>
          <cell r="F248" t="str">
            <v>UX DESIGN</v>
          </cell>
        </row>
        <row r="249">
          <cell r="B249">
            <v>2400032202</v>
          </cell>
          <cell r="C249" t="str">
            <v>VASIREDDY  SREEJA</v>
          </cell>
          <cell r="D249" t="str">
            <v>24CS2239F</v>
          </cell>
          <cell r="E249" t="str">
            <v>L</v>
          </cell>
          <cell r="F249" t="str">
            <v>SOFTWARE VERIFICATION AND VALIDATION</v>
          </cell>
        </row>
        <row r="250">
          <cell r="B250">
            <v>2400032198</v>
          </cell>
          <cell r="C250" t="str">
            <v>GURRAM  KETHANA REDDY</v>
          </cell>
          <cell r="D250" t="str">
            <v>24CS2258F</v>
          </cell>
          <cell r="E250" t="str">
            <v>L</v>
          </cell>
          <cell r="F250" t="str">
            <v>NATURAL LANGUAGE PROCESSING</v>
          </cell>
        </row>
        <row r="251">
          <cell r="B251">
            <v>2400032197</v>
          </cell>
          <cell r="C251" t="str">
            <v>KANNAN MOHAMMADH FATHIMA</v>
          </cell>
          <cell r="D251" t="str">
            <v>24CS2255F</v>
          </cell>
          <cell r="E251" t="str">
            <v>L</v>
          </cell>
          <cell r="F251" t="str">
            <v>ADVANCED DATA STRUCTURES</v>
          </cell>
        </row>
        <row r="252">
          <cell r="B252">
            <v>2400032190</v>
          </cell>
          <cell r="C252" t="str">
            <v>ALLADI  THANUSREE</v>
          </cell>
          <cell r="D252" t="str">
            <v>24CS2255F</v>
          </cell>
          <cell r="E252" t="str">
            <v>L</v>
          </cell>
          <cell r="F252" t="str">
            <v>ADVANCED DATA STRUCTURES</v>
          </cell>
        </row>
        <row r="253">
          <cell r="B253">
            <v>2400032182</v>
          </cell>
          <cell r="C253" t="str">
            <v>VUNDRALLA  BHAVYA</v>
          </cell>
          <cell r="D253" t="str">
            <v>24CS2239F</v>
          </cell>
          <cell r="E253" t="str">
            <v>L</v>
          </cell>
          <cell r="F253" t="str">
            <v>SOFTWARE VERIFICATION AND VALIDATION</v>
          </cell>
        </row>
        <row r="254">
          <cell r="B254">
            <v>2400032176</v>
          </cell>
          <cell r="C254" t="str">
            <v>DEVA  HADASSAH SHARON</v>
          </cell>
          <cell r="D254" t="str">
            <v>24CS2237F</v>
          </cell>
          <cell r="E254" t="str">
            <v>L</v>
          </cell>
          <cell r="F254" t="str">
            <v>QUANTUM COMPUTING</v>
          </cell>
        </row>
        <row r="255">
          <cell r="B255">
            <v>2400032171</v>
          </cell>
          <cell r="C255" t="str">
            <v>GEDDAM  NIHITHA CHOWDARY</v>
          </cell>
          <cell r="D255" t="str">
            <v>24CS2255F</v>
          </cell>
          <cell r="E255" t="str">
            <v>L</v>
          </cell>
          <cell r="F255" t="str">
            <v>ADVANCED DATA STRUCTURES</v>
          </cell>
        </row>
        <row r="256">
          <cell r="B256">
            <v>2400032164</v>
          </cell>
          <cell r="C256" t="str">
            <v>NEKKALA  HEMANTH HARAN</v>
          </cell>
          <cell r="D256" t="str">
            <v>24CS2237F</v>
          </cell>
          <cell r="E256" t="str">
            <v>L</v>
          </cell>
          <cell r="F256" t="str">
            <v>QUANTUM COMPUTING</v>
          </cell>
        </row>
        <row r="257">
          <cell r="B257">
            <v>2400032155</v>
          </cell>
          <cell r="C257" t="str">
            <v>SINGAREDDY  AMARA</v>
          </cell>
          <cell r="D257" t="str">
            <v>24CS2239F</v>
          </cell>
          <cell r="E257" t="str">
            <v>L</v>
          </cell>
          <cell r="F257" t="str">
            <v>SOFTWARE VERIFICATION AND VALIDATION</v>
          </cell>
        </row>
        <row r="258">
          <cell r="B258">
            <v>2400032145</v>
          </cell>
          <cell r="C258" t="str">
            <v>KILARU  KOHIMA</v>
          </cell>
          <cell r="D258" t="str">
            <v>24CS2239F</v>
          </cell>
          <cell r="E258" t="str">
            <v>L</v>
          </cell>
          <cell r="F258" t="str">
            <v>SOFTWARE VERIFICATION AND VALIDATION</v>
          </cell>
        </row>
        <row r="259">
          <cell r="B259">
            <v>2400032143</v>
          </cell>
          <cell r="C259" t="str">
            <v>NISTHA  NAYAN</v>
          </cell>
          <cell r="D259" t="str">
            <v>24CS2239F</v>
          </cell>
          <cell r="E259" t="str">
            <v>L</v>
          </cell>
          <cell r="F259" t="str">
            <v>SOFTWARE VERIFICATION AND VALIDATION</v>
          </cell>
        </row>
        <row r="260">
          <cell r="B260">
            <v>2400032135</v>
          </cell>
          <cell r="C260" t="str">
            <v>SANAGARAPU  TRIVENI</v>
          </cell>
          <cell r="D260" t="str">
            <v>24CS2239F</v>
          </cell>
          <cell r="E260" t="str">
            <v>L</v>
          </cell>
          <cell r="F260" t="str">
            <v>SOFTWARE VERIFICATION AND VALIDATION</v>
          </cell>
        </row>
        <row r="261">
          <cell r="B261">
            <v>2400032129</v>
          </cell>
          <cell r="C261" t="str">
            <v>POLUPARTHY ROOPA SRI</v>
          </cell>
          <cell r="D261" t="str">
            <v>24CS2237F</v>
          </cell>
          <cell r="E261" t="str">
            <v>L</v>
          </cell>
          <cell r="F261" t="str">
            <v>QUANTUM COMPUTING</v>
          </cell>
        </row>
        <row r="262">
          <cell r="B262">
            <v>2400032127</v>
          </cell>
          <cell r="C262" t="str">
            <v>ADITYA OM PAWAR</v>
          </cell>
          <cell r="D262" t="str">
            <v>24CS2221F</v>
          </cell>
          <cell r="E262" t="str">
            <v>L</v>
          </cell>
          <cell r="F262" t="str">
            <v>UX DESIGN</v>
          </cell>
        </row>
        <row r="263">
          <cell r="B263">
            <v>2400032124</v>
          </cell>
          <cell r="C263" t="str">
            <v xml:space="preserve">VEGESNA UMA NAGA SAI  VARSHINI </v>
          </cell>
          <cell r="D263" t="str">
            <v>24CS2258F</v>
          </cell>
          <cell r="E263" t="str">
            <v>L</v>
          </cell>
          <cell r="F263" t="str">
            <v>NATURAL LANGUAGE PROCESSING</v>
          </cell>
        </row>
        <row r="264">
          <cell r="B264">
            <v>2400032123</v>
          </cell>
          <cell r="C264" t="str">
            <v>KONAPALA SHANMUKHA SAI CHARAN</v>
          </cell>
          <cell r="D264" t="str">
            <v>24CS2260F</v>
          </cell>
          <cell r="E264" t="str">
            <v>L</v>
          </cell>
          <cell r="F264" t="str">
            <v>FOUNDATIONS OF CLOUD-NATIVE COMPUTING &amp; DEVOPS</v>
          </cell>
        </row>
        <row r="265">
          <cell r="B265">
            <v>2400032122</v>
          </cell>
          <cell r="C265" t="str">
            <v>MAKINENI  HIMA CHAITRA</v>
          </cell>
          <cell r="D265" t="str">
            <v>24CS2224F</v>
          </cell>
          <cell r="E265" t="str">
            <v>L</v>
          </cell>
          <cell r="F265" t="str">
            <v>CRYPT ANALYSIS AND CYBER DEFENCE</v>
          </cell>
        </row>
        <row r="266">
          <cell r="B266">
            <v>2400032118</v>
          </cell>
          <cell r="C266" t="str">
            <v>BATTHULA VENKATA SIVA SAI KARTHIK</v>
          </cell>
          <cell r="D266" t="str">
            <v>24CS2237F</v>
          </cell>
          <cell r="E266" t="str">
            <v>L</v>
          </cell>
          <cell r="F266" t="str">
            <v>QUANTUM COMPUTING</v>
          </cell>
        </row>
        <row r="267">
          <cell r="B267">
            <v>2400032117</v>
          </cell>
          <cell r="C267" t="str">
            <v>CHODAVARAPU  SASI KUMAR</v>
          </cell>
          <cell r="D267" t="str">
            <v>24CS2224F</v>
          </cell>
          <cell r="E267" t="str">
            <v>L</v>
          </cell>
          <cell r="F267" t="str">
            <v>CRYPT ANALYSIS AND CYBER DEFENCE</v>
          </cell>
        </row>
        <row r="268">
          <cell r="B268">
            <v>2400032109</v>
          </cell>
          <cell r="C268" t="str">
            <v>TUMU  TEJASRI SAI</v>
          </cell>
          <cell r="D268" t="str">
            <v>24CS2237F</v>
          </cell>
          <cell r="E268" t="str">
            <v>L</v>
          </cell>
          <cell r="F268" t="str">
            <v>QUANTUM COMPUTING</v>
          </cell>
        </row>
        <row r="269">
          <cell r="B269">
            <v>2400032093</v>
          </cell>
          <cell r="C269" t="str">
            <v>GOURU  DWARAKAMAI</v>
          </cell>
          <cell r="D269" t="str">
            <v>24CS2256F</v>
          </cell>
          <cell r="E269" t="str">
            <v>L</v>
          </cell>
          <cell r="F269" t="str">
            <v>FOUNDATIONS OF BLOCK CHAIN ENGINEERING</v>
          </cell>
        </row>
        <row r="270">
          <cell r="B270">
            <v>2400032087</v>
          </cell>
          <cell r="C270" t="str">
            <v>VEMPATI  LAXMI HEMALATHA</v>
          </cell>
          <cell r="D270" t="str">
            <v>24CS2237F</v>
          </cell>
          <cell r="E270" t="str">
            <v>L</v>
          </cell>
          <cell r="F270" t="str">
            <v>QUANTUM COMPUTING</v>
          </cell>
        </row>
        <row r="271">
          <cell r="B271">
            <v>2400032079</v>
          </cell>
          <cell r="C271" t="str">
            <v>SIDDANA  MAHITHA</v>
          </cell>
          <cell r="D271" t="str">
            <v>24CS2258F</v>
          </cell>
          <cell r="E271" t="str">
            <v>L</v>
          </cell>
          <cell r="F271" t="str">
            <v>NATURAL LANGUAGE PROCESSING</v>
          </cell>
        </row>
        <row r="272">
          <cell r="B272">
            <v>2400032061</v>
          </cell>
          <cell r="C272" t="str">
            <v>SAMI  KISHORE  KUMAR</v>
          </cell>
          <cell r="D272" t="str">
            <v>24CS2239F</v>
          </cell>
          <cell r="E272" t="str">
            <v>L</v>
          </cell>
          <cell r="F272" t="str">
            <v>SOFTWARE VERIFICATION AND VALIDATION</v>
          </cell>
        </row>
        <row r="273">
          <cell r="B273">
            <v>2400032056</v>
          </cell>
          <cell r="C273" t="str">
            <v>PAGUDAKULA  NAVEENA</v>
          </cell>
          <cell r="D273" t="str">
            <v>24CS2258F</v>
          </cell>
          <cell r="E273" t="str">
            <v>L</v>
          </cell>
          <cell r="F273" t="str">
            <v>NATURAL LANGUAGE PROCESSING</v>
          </cell>
        </row>
        <row r="274">
          <cell r="B274">
            <v>2400032053</v>
          </cell>
          <cell r="C274" t="str">
            <v>PACHIPALA  VENKATA SRI MADHULIKA</v>
          </cell>
          <cell r="D274" t="str">
            <v>24CS2227F</v>
          </cell>
          <cell r="E274" t="str">
            <v>L</v>
          </cell>
          <cell r="F274" t="str">
            <v>DATA ANALYTICS AND VISUALIZATION</v>
          </cell>
        </row>
        <row r="275">
          <cell r="B275">
            <v>2400032051</v>
          </cell>
          <cell r="C275" t="str">
            <v>VALLABHANI  JUHITHA CHOWDARY</v>
          </cell>
          <cell r="D275" t="str">
            <v>24CS2255F</v>
          </cell>
          <cell r="E275" t="str">
            <v>L</v>
          </cell>
          <cell r="F275" t="str">
            <v>ADVANCED DATA STRUCTURES</v>
          </cell>
        </row>
        <row r="276">
          <cell r="B276">
            <v>2400032044</v>
          </cell>
          <cell r="C276" t="str">
            <v>VELIVALA  DEVIKA</v>
          </cell>
          <cell r="D276" t="str">
            <v>24CS2239F</v>
          </cell>
          <cell r="E276" t="str">
            <v>L</v>
          </cell>
          <cell r="F276" t="str">
            <v>SOFTWARE VERIFICATION AND VALIDATION</v>
          </cell>
        </row>
        <row r="277">
          <cell r="B277">
            <v>2400032042</v>
          </cell>
          <cell r="C277" t="str">
            <v>YERRADLA  SANDEEP REDDY</v>
          </cell>
          <cell r="D277" t="str">
            <v>24CS2255F</v>
          </cell>
          <cell r="E277" t="str">
            <v>L</v>
          </cell>
          <cell r="F277" t="str">
            <v>ADVANCED DATA STRUCTURES</v>
          </cell>
        </row>
        <row r="278">
          <cell r="B278">
            <v>2400032035</v>
          </cell>
          <cell r="C278" t="str">
            <v>JONNADULA  NAGA VENKATA SANARI VISVESWAR</v>
          </cell>
          <cell r="D278" t="str">
            <v>24EC2223F</v>
          </cell>
          <cell r="E278" t="str">
            <v>L</v>
          </cell>
          <cell r="F278" t="str">
            <v>FUNDAMENTALS OF ROBOTICS</v>
          </cell>
        </row>
        <row r="279">
          <cell r="B279">
            <v>2400032033</v>
          </cell>
          <cell r="C279" t="str">
            <v>POTNURU  KEERTHANA</v>
          </cell>
          <cell r="D279" t="str">
            <v>24CS2224F</v>
          </cell>
          <cell r="E279" t="str">
            <v>L</v>
          </cell>
          <cell r="F279" t="str">
            <v>CRYPT ANALYSIS AND CYBER DEFENCE</v>
          </cell>
        </row>
        <row r="280">
          <cell r="B280">
            <v>2400032028</v>
          </cell>
          <cell r="C280" t="str">
            <v>GUNTUR  LOKESH</v>
          </cell>
          <cell r="D280" t="str">
            <v>24CS2221F</v>
          </cell>
          <cell r="E280" t="str">
            <v>L</v>
          </cell>
          <cell r="F280" t="str">
            <v>UX DESIGN</v>
          </cell>
        </row>
        <row r="281">
          <cell r="B281">
            <v>2400032023</v>
          </cell>
          <cell r="C281" t="str">
            <v>BALEPALLI  JAYANTH</v>
          </cell>
          <cell r="D281" t="str">
            <v>24CS2224F</v>
          </cell>
          <cell r="E281" t="str">
            <v>L</v>
          </cell>
          <cell r="F281" t="str">
            <v>CRYPT ANALYSIS AND CYBER DEFENCE</v>
          </cell>
        </row>
        <row r="282">
          <cell r="B282">
            <v>2400032020</v>
          </cell>
          <cell r="C282" t="str">
            <v>CHEEMA  VISHAL HRUDAY</v>
          </cell>
          <cell r="D282" t="str">
            <v>24CS2221F</v>
          </cell>
          <cell r="E282" t="str">
            <v>L</v>
          </cell>
          <cell r="F282" t="str">
            <v>UX DESIGN</v>
          </cell>
        </row>
        <row r="283">
          <cell r="B283">
            <v>2400032010</v>
          </cell>
          <cell r="C283" t="str">
            <v>LEKKALA  HARI CHANDANA PRIYA</v>
          </cell>
          <cell r="D283" t="str">
            <v>24CS2227F</v>
          </cell>
          <cell r="E283" t="str">
            <v>L</v>
          </cell>
          <cell r="F283" t="str">
            <v>DATA ANALYTICS AND VISUALIZATION</v>
          </cell>
        </row>
        <row r="284">
          <cell r="B284">
            <v>2400031998</v>
          </cell>
          <cell r="C284" t="str">
            <v>MALIGAI  MOHAMMED ROOHAN</v>
          </cell>
          <cell r="D284" t="str">
            <v>24CS2256F</v>
          </cell>
          <cell r="E284" t="str">
            <v>L</v>
          </cell>
          <cell r="F284" t="str">
            <v>FOUNDATIONS OF BLOCK CHAIN ENGINEERING</v>
          </cell>
        </row>
        <row r="285">
          <cell r="B285">
            <v>2400031995</v>
          </cell>
          <cell r="C285" t="str">
            <v>VANKA  ADITYA   KRISHNA  VARDHAN</v>
          </cell>
          <cell r="D285" t="str">
            <v>24CS2224F</v>
          </cell>
          <cell r="E285" t="str">
            <v>L</v>
          </cell>
          <cell r="F285" t="str">
            <v>CRYPT ANALYSIS AND CYBER DEFENCE</v>
          </cell>
        </row>
        <row r="286">
          <cell r="B286">
            <v>2400031994</v>
          </cell>
          <cell r="C286" t="str">
            <v>MOHAMMAD  SHAHID</v>
          </cell>
          <cell r="D286" t="str">
            <v>24CS2264F</v>
          </cell>
          <cell r="E286" t="str">
            <v>L</v>
          </cell>
          <cell r="F286" t="str">
            <v>GAME SYSTEMS DESIGN AND DEVELOPMENT</v>
          </cell>
        </row>
        <row r="287">
          <cell r="B287">
            <v>2400031993</v>
          </cell>
          <cell r="C287" t="str">
            <v>POKANATI  SATISH</v>
          </cell>
          <cell r="D287" t="str">
            <v>24CS2255F</v>
          </cell>
          <cell r="E287" t="str">
            <v>L</v>
          </cell>
          <cell r="F287" t="str">
            <v>ADVANCED DATA STRUCTURES</v>
          </cell>
        </row>
        <row r="288">
          <cell r="B288">
            <v>2400031974</v>
          </cell>
          <cell r="C288" t="str">
            <v>L  SRI SAI RISHENDAR REDDY</v>
          </cell>
          <cell r="D288" t="str">
            <v>24CS2239F</v>
          </cell>
          <cell r="E288" t="str">
            <v>L</v>
          </cell>
          <cell r="F288" t="str">
            <v>SOFTWARE VERIFICATION AND VALIDATION</v>
          </cell>
        </row>
        <row r="289">
          <cell r="B289">
            <v>2400031971</v>
          </cell>
          <cell r="C289" t="str">
            <v>KAMUTALA  SPOORTHI</v>
          </cell>
          <cell r="D289" t="str">
            <v>24CS2237F</v>
          </cell>
          <cell r="E289" t="str">
            <v>L</v>
          </cell>
          <cell r="F289" t="str">
            <v>QUANTUM COMPUTING</v>
          </cell>
        </row>
        <row r="290">
          <cell r="B290">
            <v>2400031967</v>
          </cell>
          <cell r="C290" t="str">
            <v>SK MD AAQUIL AHMAD</v>
          </cell>
          <cell r="D290" t="str">
            <v>24CS2256F</v>
          </cell>
          <cell r="E290" t="str">
            <v>L</v>
          </cell>
          <cell r="F290" t="str">
            <v>FOUNDATIONS OF BLOCK CHAIN ENGINEERING</v>
          </cell>
        </row>
        <row r="291">
          <cell r="B291">
            <v>2400031964</v>
          </cell>
          <cell r="C291" t="str">
            <v>GANGIREDDY  TEJASWINI</v>
          </cell>
          <cell r="D291" t="str">
            <v>24CS2258F</v>
          </cell>
          <cell r="E291" t="str">
            <v>L</v>
          </cell>
          <cell r="F291" t="str">
            <v>NATURAL LANGUAGE PROCESSING</v>
          </cell>
        </row>
        <row r="292">
          <cell r="B292">
            <v>2400031963</v>
          </cell>
          <cell r="C292" t="str">
            <v>THOTAKURA NANDA  KISHORE</v>
          </cell>
          <cell r="D292" t="str">
            <v>24CS2258F</v>
          </cell>
          <cell r="E292" t="str">
            <v>L</v>
          </cell>
          <cell r="F292" t="str">
            <v>NATURAL LANGUAGE PROCESSING</v>
          </cell>
        </row>
        <row r="293">
          <cell r="B293">
            <v>2400031961</v>
          </cell>
          <cell r="C293" t="str">
            <v>MAMIDI   GOUTHAM</v>
          </cell>
          <cell r="D293" t="str">
            <v>24CS2239F</v>
          </cell>
          <cell r="E293" t="str">
            <v>L</v>
          </cell>
          <cell r="F293" t="str">
            <v>SOFTWARE VERIFICATION AND VALIDATION</v>
          </cell>
        </row>
        <row r="294">
          <cell r="B294">
            <v>2400031959</v>
          </cell>
          <cell r="C294" t="str">
            <v>YARAMATI TEJA  SAI SAMPATH</v>
          </cell>
          <cell r="D294" t="str">
            <v>24CS2258F</v>
          </cell>
          <cell r="E294" t="str">
            <v>L</v>
          </cell>
          <cell r="F294" t="str">
            <v>NATURAL LANGUAGE PROCESSING</v>
          </cell>
        </row>
        <row r="295">
          <cell r="B295">
            <v>2400031955</v>
          </cell>
          <cell r="C295" t="str">
            <v>GAMPALA PRANEETH  RAM</v>
          </cell>
          <cell r="D295" t="str">
            <v>24CS2258F</v>
          </cell>
          <cell r="E295" t="str">
            <v>L</v>
          </cell>
          <cell r="F295" t="str">
            <v>NATURAL LANGUAGE PROCESSING</v>
          </cell>
        </row>
        <row r="296">
          <cell r="B296">
            <v>2400031948</v>
          </cell>
          <cell r="C296" t="str">
            <v>DURGAM  HIMAJA</v>
          </cell>
          <cell r="D296" t="str">
            <v>24CS2264F</v>
          </cell>
          <cell r="E296" t="str">
            <v>L</v>
          </cell>
          <cell r="F296" t="str">
            <v>GAME SYSTEMS DESIGN AND DEVELOPMENT</v>
          </cell>
        </row>
        <row r="297">
          <cell r="B297">
            <v>2400031947</v>
          </cell>
          <cell r="C297" t="str">
            <v>RISHABH   KUMAR</v>
          </cell>
          <cell r="D297" t="str">
            <v>24CS2255F</v>
          </cell>
          <cell r="E297" t="str">
            <v>L</v>
          </cell>
          <cell r="F297" t="str">
            <v>ADVANCED DATA STRUCTURES</v>
          </cell>
        </row>
        <row r="298">
          <cell r="B298">
            <v>2400031946</v>
          </cell>
          <cell r="C298" t="str">
            <v>BALUSU KALYAN  RAM</v>
          </cell>
          <cell r="D298" t="str">
            <v>24CS2264F</v>
          </cell>
          <cell r="E298" t="str">
            <v>L</v>
          </cell>
          <cell r="F298" t="str">
            <v>GAME SYSTEMS DESIGN AND DEVELOPMENT</v>
          </cell>
        </row>
        <row r="299">
          <cell r="B299">
            <v>2400031940</v>
          </cell>
          <cell r="C299" t="str">
            <v>GANNINA  VENUKARTHIKA</v>
          </cell>
          <cell r="D299" t="str">
            <v>24CS2255F</v>
          </cell>
          <cell r="E299" t="str">
            <v>L</v>
          </cell>
          <cell r="F299" t="str">
            <v>ADVANCED DATA STRUCTURES</v>
          </cell>
        </row>
        <row r="300">
          <cell r="B300">
            <v>2400031939</v>
          </cell>
          <cell r="C300" t="str">
            <v>BUNGA GLORY  SUSANNA</v>
          </cell>
          <cell r="D300" t="str">
            <v>24CS2260F</v>
          </cell>
          <cell r="E300" t="str">
            <v>L</v>
          </cell>
          <cell r="F300" t="str">
            <v>FOUNDATIONS OF CLOUD-NATIVE COMPUTING &amp; DEVOPS</v>
          </cell>
        </row>
        <row r="301">
          <cell r="B301">
            <v>2400031938</v>
          </cell>
          <cell r="C301" t="str">
            <v>MEDAPATI VENKATA  VAMSI SRIKARA</v>
          </cell>
          <cell r="D301" t="str">
            <v>24CS2255F</v>
          </cell>
          <cell r="E301" t="str">
            <v>L</v>
          </cell>
          <cell r="F301" t="str">
            <v>ADVANCED DATA STRUCTURES</v>
          </cell>
        </row>
        <row r="302">
          <cell r="B302">
            <v>2400031937</v>
          </cell>
          <cell r="C302" t="str">
            <v>GARLAPATI  NISHANTH</v>
          </cell>
          <cell r="D302" t="str">
            <v>24CS2255F</v>
          </cell>
          <cell r="E302" t="str">
            <v>L</v>
          </cell>
          <cell r="F302" t="str">
            <v>ADVANCED DATA STRUCTURES</v>
          </cell>
        </row>
        <row r="303">
          <cell r="B303">
            <v>2400031932</v>
          </cell>
          <cell r="C303" t="str">
            <v>REDDIBOINA  SAI  VENU</v>
          </cell>
          <cell r="D303" t="str">
            <v>24CS2255F</v>
          </cell>
          <cell r="E303" t="str">
            <v>L</v>
          </cell>
          <cell r="F303" t="str">
            <v>ADVANCED DATA STRUCTURES</v>
          </cell>
        </row>
        <row r="304">
          <cell r="B304">
            <v>2400031926</v>
          </cell>
          <cell r="C304" t="str">
            <v xml:space="preserve">BOYINA NAGA  BALA NALINI </v>
          </cell>
          <cell r="D304" t="str">
            <v>24CS2237F</v>
          </cell>
          <cell r="E304" t="str">
            <v>L</v>
          </cell>
          <cell r="F304" t="str">
            <v>QUANTUM COMPUTING</v>
          </cell>
        </row>
        <row r="305">
          <cell r="B305">
            <v>2400031923</v>
          </cell>
          <cell r="C305" t="str">
            <v>KARANAM  BHARGAV</v>
          </cell>
          <cell r="D305" t="str">
            <v>24CS2258F</v>
          </cell>
          <cell r="E305" t="str">
            <v>L</v>
          </cell>
          <cell r="F305" t="str">
            <v>NATURAL LANGUAGE PROCESSING</v>
          </cell>
        </row>
        <row r="306">
          <cell r="B306">
            <v>2400031922</v>
          </cell>
          <cell r="C306" t="str">
            <v>PONDURI S V V THANMAI SARAN</v>
          </cell>
          <cell r="D306" t="str">
            <v>24EE2230F</v>
          </cell>
          <cell r="E306" t="str">
            <v>L</v>
          </cell>
          <cell r="F306" t="str">
            <v>ESSENTIALS OF AUTONOMOUS SYSTEMS</v>
          </cell>
        </row>
        <row r="307">
          <cell r="B307">
            <v>2400031916</v>
          </cell>
          <cell r="C307" t="str">
            <v>ALAPATI  JNANESWAR</v>
          </cell>
          <cell r="D307" t="str">
            <v>24CS2224F</v>
          </cell>
          <cell r="E307" t="str">
            <v>L</v>
          </cell>
          <cell r="F307" t="str">
            <v>CRYPT ANALYSIS AND CYBER DEFENCE</v>
          </cell>
        </row>
        <row r="308">
          <cell r="B308">
            <v>2400031915</v>
          </cell>
          <cell r="C308" t="str">
            <v>NALLURI VISHNU  SIVA NAGA VARUN</v>
          </cell>
          <cell r="D308" t="str">
            <v>24CS2221F</v>
          </cell>
          <cell r="E308" t="str">
            <v>L</v>
          </cell>
          <cell r="F308" t="str">
            <v>UX DESIGN</v>
          </cell>
        </row>
        <row r="309">
          <cell r="B309">
            <v>2400031909</v>
          </cell>
          <cell r="C309" t="str">
            <v>TIRUMALASETTI  TANUSRI</v>
          </cell>
          <cell r="D309" t="str">
            <v>24CS2255F</v>
          </cell>
          <cell r="E309" t="str">
            <v>L</v>
          </cell>
          <cell r="F309" t="str">
            <v>ADVANCED DATA STRUCTURES</v>
          </cell>
        </row>
        <row r="310">
          <cell r="B310">
            <v>2400031904</v>
          </cell>
          <cell r="C310" t="str">
            <v>POLISETTI GOURI  PITCHAIAH</v>
          </cell>
          <cell r="D310" t="str">
            <v>24CS2224F</v>
          </cell>
          <cell r="E310" t="str">
            <v>L</v>
          </cell>
          <cell r="F310" t="str">
            <v>CRYPT ANALYSIS AND CYBER DEFENCE</v>
          </cell>
        </row>
        <row r="311">
          <cell r="B311">
            <v>2400031899</v>
          </cell>
          <cell r="C311" t="str">
            <v>MADAVA VEERA  VENKATA AKSHAY NIMMALA</v>
          </cell>
          <cell r="D311" t="str">
            <v>24CS2264F</v>
          </cell>
          <cell r="E311" t="str">
            <v>L</v>
          </cell>
          <cell r="F311" t="str">
            <v>GAME SYSTEMS DESIGN AND DEVELOPMENT</v>
          </cell>
        </row>
        <row r="312">
          <cell r="B312">
            <v>2400031892</v>
          </cell>
          <cell r="C312" t="str">
            <v>THOTA B L N MANIKANTA</v>
          </cell>
          <cell r="D312" t="str">
            <v>24CS2239F</v>
          </cell>
          <cell r="E312" t="str">
            <v>L</v>
          </cell>
          <cell r="F312" t="str">
            <v>SOFTWARE VERIFICATION AND VALIDATION</v>
          </cell>
        </row>
        <row r="313">
          <cell r="B313">
            <v>2400031885</v>
          </cell>
          <cell r="C313" t="str">
            <v>POLISETTY  RISHITA</v>
          </cell>
          <cell r="D313" t="str">
            <v>24CS2255F</v>
          </cell>
          <cell r="E313" t="str">
            <v>L</v>
          </cell>
          <cell r="F313" t="str">
            <v>ADVANCED DATA STRUCTURES</v>
          </cell>
        </row>
        <row r="314">
          <cell r="B314">
            <v>2400031883</v>
          </cell>
          <cell r="C314" t="str">
            <v>POLURU HARI  CHANDANA</v>
          </cell>
          <cell r="D314" t="str">
            <v>24CS2255F</v>
          </cell>
          <cell r="E314" t="str">
            <v>L</v>
          </cell>
          <cell r="F314" t="str">
            <v>ADVANCED DATA STRUCTURES</v>
          </cell>
        </row>
        <row r="315">
          <cell r="B315">
            <v>2400031874</v>
          </cell>
          <cell r="C315" t="str">
            <v>MANGAPURAM  NISHITHA</v>
          </cell>
          <cell r="D315" t="str">
            <v>24CS2224F</v>
          </cell>
          <cell r="E315" t="str">
            <v>L</v>
          </cell>
          <cell r="F315" t="str">
            <v>CRYPT ANALYSIS AND CYBER DEFENCE</v>
          </cell>
        </row>
        <row r="316">
          <cell r="B316">
            <v>2400031867</v>
          </cell>
          <cell r="C316" t="str">
            <v>KATHERAPALLI SAI NIKHILA REDDY</v>
          </cell>
          <cell r="D316" t="str">
            <v>24CS2237F</v>
          </cell>
          <cell r="E316" t="str">
            <v>L</v>
          </cell>
          <cell r="F316" t="str">
            <v>QUANTUM COMPUTING</v>
          </cell>
        </row>
        <row r="317">
          <cell r="B317">
            <v>2400031866</v>
          </cell>
          <cell r="C317" t="str">
            <v>GUTTI  TEJDEEP</v>
          </cell>
          <cell r="D317" t="str">
            <v>24CS2255F</v>
          </cell>
          <cell r="E317" t="str">
            <v>L</v>
          </cell>
          <cell r="F317" t="str">
            <v>ADVANCED DATA STRUCTURES</v>
          </cell>
        </row>
        <row r="318">
          <cell r="B318">
            <v>2400031865</v>
          </cell>
          <cell r="C318" t="str">
            <v>GRANDHI  VENKATA NAGA SAI SASIDHAR</v>
          </cell>
          <cell r="D318" t="str">
            <v>24CS2255F</v>
          </cell>
          <cell r="E318" t="str">
            <v>L</v>
          </cell>
          <cell r="F318" t="str">
            <v>ADVANCED DATA STRUCTURES</v>
          </cell>
        </row>
        <row r="319">
          <cell r="B319">
            <v>2400031857</v>
          </cell>
          <cell r="C319" t="str">
            <v>ACHUTA JAYA  SRI</v>
          </cell>
          <cell r="D319" t="str">
            <v>24EE2230F</v>
          </cell>
          <cell r="E319" t="str">
            <v>L</v>
          </cell>
          <cell r="F319" t="str">
            <v>ESSENTIALS OF AUTONOMOUS SYSTEMS</v>
          </cell>
        </row>
        <row r="320">
          <cell r="B320">
            <v>2400031851</v>
          </cell>
          <cell r="C320" t="str">
            <v>MUTHINENI KEERTHI PRAKASH</v>
          </cell>
          <cell r="D320" t="str">
            <v>24CS2256F</v>
          </cell>
          <cell r="E320" t="str">
            <v>L</v>
          </cell>
          <cell r="F320" t="str">
            <v>FOUNDATIONS OF BLOCK CHAIN ENGINEERING</v>
          </cell>
        </row>
        <row r="321">
          <cell r="B321">
            <v>2400031847</v>
          </cell>
          <cell r="C321" t="str">
            <v>CHALLAGULLA  PRAVEEN</v>
          </cell>
          <cell r="D321" t="str">
            <v>24CS2239F</v>
          </cell>
          <cell r="E321" t="str">
            <v>L</v>
          </cell>
          <cell r="F321" t="str">
            <v>SOFTWARE VERIFICATION AND VALIDATION</v>
          </cell>
        </row>
        <row r="322">
          <cell r="B322">
            <v>2400031846</v>
          </cell>
          <cell r="C322" t="str">
            <v>CHELLA RISHIK KALYAN</v>
          </cell>
          <cell r="D322" t="str">
            <v>24CS2255F</v>
          </cell>
          <cell r="E322" t="str">
            <v>L</v>
          </cell>
          <cell r="F322" t="str">
            <v>ADVANCED DATA STRUCTURES</v>
          </cell>
        </row>
        <row r="323">
          <cell r="B323">
            <v>2400031836</v>
          </cell>
          <cell r="C323" t="str">
            <v>THUMMALA DHEERAJ REDDY</v>
          </cell>
          <cell r="D323" t="str">
            <v>24CS2224F</v>
          </cell>
          <cell r="E323" t="str">
            <v>L</v>
          </cell>
          <cell r="F323" t="str">
            <v>CRYPT ANALYSIS AND CYBER DEFENCE</v>
          </cell>
        </row>
        <row r="324">
          <cell r="B324">
            <v>2400031834</v>
          </cell>
          <cell r="C324" t="str">
            <v>GARREPALLI  TEJASHWINI</v>
          </cell>
          <cell r="D324" t="str">
            <v>24CS2256F</v>
          </cell>
          <cell r="E324" t="str">
            <v>L</v>
          </cell>
          <cell r="F324" t="str">
            <v>FOUNDATIONS OF BLOCK CHAIN ENGINEERING</v>
          </cell>
        </row>
        <row r="325">
          <cell r="B325">
            <v>2400031830</v>
          </cell>
          <cell r="C325" t="str">
            <v>KODURI DHANESH  BABU</v>
          </cell>
          <cell r="D325" t="str">
            <v>24CS2239F</v>
          </cell>
          <cell r="E325" t="str">
            <v>L</v>
          </cell>
          <cell r="F325" t="str">
            <v>SOFTWARE VERIFICATION AND VALIDATION</v>
          </cell>
        </row>
        <row r="326">
          <cell r="B326">
            <v>2400031827</v>
          </cell>
          <cell r="C326" t="str">
            <v>KODALI SAI DEVA HARSHA</v>
          </cell>
          <cell r="D326" t="str">
            <v>24CS2221F</v>
          </cell>
          <cell r="E326" t="str">
            <v>L</v>
          </cell>
          <cell r="F326" t="str">
            <v>UX DESIGN</v>
          </cell>
        </row>
        <row r="327">
          <cell r="B327">
            <v>2400031823</v>
          </cell>
          <cell r="C327" t="str">
            <v>BATNA  VISHALI</v>
          </cell>
          <cell r="D327" t="str">
            <v>24CS2255F</v>
          </cell>
          <cell r="E327" t="str">
            <v>L</v>
          </cell>
          <cell r="F327" t="str">
            <v>ADVANCED DATA STRUCTURES</v>
          </cell>
        </row>
        <row r="328">
          <cell r="B328">
            <v>2400031821</v>
          </cell>
          <cell r="C328" t="str">
            <v>GANGAVARAPU  GOUTHAMNAG</v>
          </cell>
          <cell r="D328" t="str">
            <v>24CS2260F</v>
          </cell>
          <cell r="E328" t="str">
            <v>L</v>
          </cell>
          <cell r="F328" t="str">
            <v>FOUNDATIONS OF CLOUD-NATIVE COMPUTING &amp; DEVOPS</v>
          </cell>
        </row>
        <row r="329">
          <cell r="B329">
            <v>2400031816</v>
          </cell>
          <cell r="C329" t="str">
            <v>KANDEPI  LAKSHMI  SAI RAMA DEEPTHI</v>
          </cell>
          <cell r="D329" t="str">
            <v>24CS2255F</v>
          </cell>
          <cell r="E329" t="str">
            <v>L</v>
          </cell>
          <cell r="F329" t="str">
            <v>ADVANCED DATA STRUCTURES</v>
          </cell>
        </row>
        <row r="330">
          <cell r="B330">
            <v>2400031806</v>
          </cell>
          <cell r="C330" t="str">
            <v>MALLIDI  JASWANTH  REDDY</v>
          </cell>
          <cell r="D330" t="str">
            <v>24CS2255F</v>
          </cell>
          <cell r="E330" t="str">
            <v>L</v>
          </cell>
          <cell r="F330" t="str">
            <v>ADVANCED DATA STRUCTURES</v>
          </cell>
        </row>
        <row r="331">
          <cell r="B331">
            <v>2400031805</v>
          </cell>
          <cell r="C331" t="str">
            <v>PATHAKOTA  HIMA BINDU</v>
          </cell>
          <cell r="D331" t="str">
            <v>24CS2256F</v>
          </cell>
          <cell r="E331" t="str">
            <v>L</v>
          </cell>
          <cell r="F331" t="str">
            <v>FOUNDATIONS OF BLOCK CHAIN ENGINEERING</v>
          </cell>
        </row>
        <row r="332">
          <cell r="B332">
            <v>2400031802</v>
          </cell>
          <cell r="C332" t="str">
            <v>MEKA KEERTHI  SRI</v>
          </cell>
          <cell r="D332" t="str">
            <v>24CS2258F</v>
          </cell>
          <cell r="E332" t="str">
            <v>L</v>
          </cell>
          <cell r="F332" t="str">
            <v>NATURAL LANGUAGE PROCESSING</v>
          </cell>
        </row>
        <row r="333">
          <cell r="B333">
            <v>2400031801</v>
          </cell>
          <cell r="C333" t="str">
            <v>BOMMINA HEMANTH  SAI</v>
          </cell>
          <cell r="D333" t="str">
            <v>24CS2256F</v>
          </cell>
          <cell r="E333" t="str">
            <v>L</v>
          </cell>
          <cell r="F333" t="str">
            <v>FOUNDATIONS OF BLOCK CHAIN ENGINEERING</v>
          </cell>
        </row>
        <row r="334">
          <cell r="B334">
            <v>2400031771</v>
          </cell>
          <cell r="C334" t="str">
            <v>JAKKULA GOPI CHANDRIKA</v>
          </cell>
          <cell r="D334" t="str">
            <v>24CS2239F</v>
          </cell>
          <cell r="E334" t="str">
            <v>L</v>
          </cell>
          <cell r="F334" t="str">
            <v>SOFTWARE VERIFICATION AND VALIDATION</v>
          </cell>
        </row>
        <row r="335">
          <cell r="B335">
            <v>2400031767</v>
          </cell>
          <cell r="C335" t="str">
            <v>CHALLA MOHANA  PRIYA</v>
          </cell>
          <cell r="D335" t="str">
            <v>24CS2221F</v>
          </cell>
          <cell r="E335" t="str">
            <v>L</v>
          </cell>
          <cell r="F335" t="str">
            <v>UX DESIGN</v>
          </cell>
        </row>
        <row r="336">
          <cell r="B336">
            <v>2400031762</v>
          </cell>
          <cell r="C336" t="str">
            <v>KODALI  MAHATHI</v>
          </cell>
          <cell r="D336" t="str">
            <v>24CS2255F</v>
          </cell>
          <cell r="E336" t="str">
            <v>L</v>
          </cell>
          <cell r="F336" t="str">
            <v>ADVANCED DATA STRUCTURES</v>
          </cell>
        </row>
        <row r="337">
          <cell r="B337">
            <v>2400031757</v>
          </cell>
          <cell r="C337" t="str">
            <v>TILLAPUDI ESWARI  SAI JASMITHA</v>
          </cell>
          <cell r="D337" t="str">
            <v>24CS2256F</v>
          </cell>
          <cell r="E337" t="str">
            <v>L</v>
          </cell>
          <cell r="F337" t="str">
            <v>FOUNDATIONS OF BLOCK CHAIN ENGINEERING</v>
          </cell>
        </row>
        <row r="338">
          <cell r="B338">
            <v>2400031754</v>
          </cell>
          <cell r="C338" t="str">
            <v>DONTHU CHAITHANYA  LAKSHMI</v>
          </cell>
          <cell r="D338" t="str">
            <v>24CS2221F</v>
          </cell>
          <cell r="E338" t="str">
            <v>L</v>
          </cell>
          <cell r="F338" t="str">
            <v>UX DESIGN</v>
          </cell>
        </row>
        <row r="339">
          <cell r="B339">
            <v>2400031751</v>
          </cell>
          <cell r="C339" t="str">
            <v>RENUKA RAMKRISHNA RAYA</v>
          </cell>
          <cell r="D339" t="str">
            <v>24CS2258F</v>
          </cell>
          <cell r="E339" t="str">
            <v>L</v>
          </cell>
          <cell r="F339" t="str">
            <v>NATURAL LANGUAGE PROCESSING</v>
          </cell>
        </row>
        <row r="340">
          <cell r="B340">
            <v>2400031743</v>
          </cell>
          <cell r="C340" t="str">
            <v>JALDHANI  YEDUKONDALA SURYAKANTH</v>
          </cell>
          <cell r="D340" t="str">
            <v>24CS2224F</v>
          </cell>
          <cell r="E340" t="str">
            <v>L</v>
          </cell>
          <cell r="F340" t="str">
            <v>CRYPT ANALYSIS AND CYBER DEFENCE</v>
          </cell>
        </row>
        <row r="341">
          <cell r="B341">
            <v>2400031736</v>
          </cell>
          <cell r="C341" t="str">
            <v>THIGULLA SAI SWAROOP</v>
          </cell>
          <cell r="D341" t="str">
            <v>24CS2221F</v>
          </cell>
          <cell r="E341" t="str">
            <v>L</v>
          </cell>
          <cell r="F341" t="str">
            <v>UX DESIGN</v>
          </cell>
        </row>
        <row r="342">
          <cell r="B342">
            <v>2400031732</v>
          </cell>
          <cell r="C342" t="str">
            <v>CHITTIPROLU HARISH  BABU</v>
          </cell>
          <cell r="D342" t="str">
            <v>24CS2256F</v>
          </cell>
          <cell r="E342" t="str">
            <v>L</v>
          </cell>
          <cell r="F342" t="str">
            <v>FOUNDATIONS OF BLOCK CHAIN ENGINEERING</v>
          </cell>
        </row>
        <row r="343">
          <cell r="B343">
            <v>2400031725</v>
          </cell>
          <cell r="C343" t="str">
            <v>MIRIYALA  NIKITHA  RAM</v>
          </cell>
          <cell r="D343" t="str">
            <v>24CS2227F</v>
          </cell>
          <cell r="E343" t="str">
            <v>L</v>
          </cell>
          <cell r="F343" t="str">
            <v>DATA ANALYTICS AND VISUALIZATION</v>
          </cell>
        </row>
        <row r="344">
          <cell r="B344">
            <v>2400031714</v>
          </cell>
          <cell r="C344" t="str">
            <v>KARUTURI NAGA VENKATA SATYA SAI MANOJ</v>
          </cell>
          <cell r="D344" t="str">
            <v>24CS2221F</v>
          </cell>
          <cell r="E344" t="str">
            <v>L</v>
          </cell>
          <cell r="F344" t="str">
            <v>UX DESIGN</v>
          </cell>
        </row>
        <row r="345">
          <cell r="B345">
            <v>2400031712</v>
          </cell>
          <cell r="C345" t="str">
            <v>TUMMA VENKATA  KIRAN</v>
          </cell>
          <cell r="D345" t="str">
            <v>24CS2260F</v>
          </cell>
          <cell r="E345" t="str">
            <v>L</v>
          </cell>
          <cell r="F345" t="str">
            <v>FOUNDATIONS OF CLOUD-NATIVE COMPUTING &amp; DEVOPS</v>
          </cell>
        </row>
        <row r="346">
          <cell r="B346">
            <v>2400031709</v>
          </cell>
          <cell r="C346" t="str">
            <v>INDURU  JASWITHA</v>
          </cell>
          <cell r="D346" t="str">
            <v>24EE2230F</v>
          </cell>
          <cell r="E346" t="str">
            <v>L</v>
          </cell>
          <cell r="F346" t="str">
            <v>ESSENTIALS OF AUTONOMOUS SYSTEMS</v>
          </cell>
        </row>
        <row r="347">
          <cell r="B347">
            <v>2400031708</v>
          </cell>
          <cell r="C347" t="str">
            <v>INTI  SIRI VENNELA</v>
          </cell>
          <cell r="D347" t="str">
            <v>24CS2224F</v>
          </cell>
          <cell r="E347" t="str">
            <v>L</v>
          </cell>
          <cell r="F347" t="str">
            <v>CRYPT ANALYSIS AND CYBER DEFENCE</v>
          </cell>
        </row>
        <row r="348">
          <cell r="B348">
            <v>2400031699</v>
          </cell>
          <cell r="C348" t="str">
            <v>GANTA DHANUSH  RAMA PHANI</v>
          </cell>
          <cell r="D348" t="str">
            <v>24EC2223F</v>
          </cell>
          <cell r="E348" t="str">
            <v>L</v>
          </cell>
          <cell r="F348" t="str">
            <v>FUNDAMENTALS OF ROBOTICS</v>
          </cell>
        </row>
        <row r="349">
          <cell r="B349">
            <v>2400031687</v>
          </cell>
          <cell r="C349" t="str">
            <v>GUMPULA ISAAC  CALVIN</v>
          </cell>
          <cell r="D349" t="str">
            <v>24CS2264F</v>
          </cell>
          <cell r="E349" t="str">
            <v>L</v>
          </cell>
          <cell r="F349" t="str">
            <v>GAME SYSTEMS DESIGN AND DEVELOPMENT</v>
          </cell>
        </row>
        <row r="350">
          <cell r="B350">
            <v>2400031686</v>
          </cell>
          <cell r="C350" t="str">
            <v>DWARAKA  GEERVAN</v>
          </cell>
          <cell r="D350" t="str">
            <v>24EE2230F</v>
          </cell>
          <cell r="E350" t="str">
            <v>L</v>
          </cell>
          <cell r="F350" t="str">
            <v>ESSENTIALS OF AUTONOMOUS SYSTEMS</v>
          </cell>
        </row>
        <row r="351">
          <cell r="B351">
            <v>2400031685</v>
          </cell>
          <cell r="C351" t="str">
            <v>BANDARU  NITYA SRI GOWRI</v>
          </cell>
          <cell r="D351" t="str">
            <v>24CS2239F</v>
          </cell>
          <cell r="E351" t="str">
            <v>L</v>
          </cell>
          <cell r="F351" t="str">
            <v>SOFTWARE VERIFICATION AND VALIDATION</v>
          </cell>
        </row>
        <row r="352">
          <cell r="B352">
            <v>2400031684</v>
          </cell>
          <cell r="C352" t="str">
            <v>UPPULURI JYOTHI SRI</v>
          </cell>
          <cell r="D352" t="str">
            <v>24CS2239F</v>
          </cell>
          <cell r="E352" t="str">
            <v>L</v>
          </cell>
          <cell r="F352" t="str">
            <v>SOFTWARE VERIFICATION AND VALIDATION</v>
          </cell>
        </row>
        <row r="353">
          <cell r="B353">
            <v>2400031683</v>
          </cell>
          <cell r="C353" t="str">
            <v>PRABOL  PAUL</v>
          </cell>
          <cell r="D353" t="str">
            <v>24CS2256F</v>
          </cell>
          <cell r="E353" t="str">
            <v>L</v>
          </cell>
          <cell r="F353" t="str">
            <v>FOUNDATIONS OF BLOCK CHAIN ENGINEERING</v>
          </cell>
        </row>
        <row r="354">
          <cell r="B354">
            <v>2400031680</v>
          </cell>
          <cell r="C354" t="str">
            <v>BONTHA DINESH  REDDY</v>
          </cell>
          <cell r="D354" t="str">
            <v>24CS2237F</v>
          </cell>
          <cell r="E354" t="str">
            <v>L</v>
          </cell>
          <cell r="F354" t="str">
            <v>QUANTUM COMPUTING</v>
          </cell>
        </row>
        <row r="355">
          <cell r="B355">
            <v>2400031679</v>
          </cell>
          <cell r="C355" t="str">
            <v>SARIKA KAVYA  VARSHINI</v>
          </cell>
          <cell r="D355" t="str">
            <v>24CS2237F</v>
          </cell>
          <cell r="E355" t="str">
            <v>L</v>
          </cell>
          <cell r="F355" t="str">
            <v>QUANTUM COMPUTING</v>
          </cell>
        </row>
        <row r="356">
          <cell r="B356">
            <v>2400031664</v>
          </cell>
          <cell r="C356" t="str">
            <v>SUBUDHI   SUMANTH</v>
          </cell>
          <cell r="D356" t="str">
            <v>24CS2237F</v>
          </cell>
          <cell r="E356" t="str">
            <v>L</v>
          </cell>
          <cell r="F356" t="str">
            <v>QUANTUM COMPUTING</v>
          </cell>
        </row>
        <row r="357">
          <cell r="B357">
            <v>2400031659</v>
          </cell>
          <cell r="C357" t="str">
            <v>ANDAVARAPU  SRINIVAS</v>
          </cell>
          <cell r="D357" t="str">
            <v>24CS2239F</v>
          </cell>
          <cell r="E357" t="str">
            <v>L</v>
          </cell>
          <cell r="F357" t="str">
            <v>SOFTWARE VERIFICATION AND VALIDATION</v>
          </cell>
        </row>
        <row r="358">
          <cell r="B358">
            <v>2400031656</v>
          </cell>
          <cell r="C358" t="str">
            <v xml:space="preserve">JONNALAGADDA  SAI  PAVAN KUMAR </v>
          </cell>
          <cell r="D358" t="str">
            <v>24CS2264F</v>
          </cell>
          <cell r="E358" t="str">
            <v>L</v>
          </cell>
          <cell r="F358" t="str">
            <v>GAME SYSTEMS DESIGN AND DEVELOPMENT</v>
          </cell>
        </row>
        <row r="359">
          <cell r="B359">
            <v>2400031655</v>
          </cell>
          <cell r="C359" t="str">
            <v>PENDYALA PURNA SAHITHI</v>
          </cell>
          <cell r="D359" t="str">
            <v>24CS2239F</v>
          </cell>
          <cell r="E359" t="str">
            <v>L</v>
          </cell>
          <cell r="F359" t="str">
            <v>SOFTWARE VERIFICATION AND VALIDATION</v>
          </cell>
        </row>
        <row r="360">
          <cell r="B360">
            <v>2400031653</v>
          </cell>
          <cell r="C360" t="str">
            <v>CHINTHALA SAI SUKESH</v>
          </cell>
          <cell r="D360" t="str">
            <v>24CS2260F</v>
          </cell>
          <cell r="E360" t="str">
            <v>L</v>
          </cell>
          <cell r="F360" t="str">
            <v>FOUNDATIONS OF CLOUD-NATIVE COMPUTING &amp; DEVOPS</v>
          </cell>
        </row>
        <row r="361">
          <cell r="B361">
            <v>2400031648</v>
          </cell>
          <cell r="C361" t="str">
            <v>KONDAPAVULURI  RITHWIK</v>
          </cell>
          <cell r="D361" t="str">
            <v>24CS2237F</v>
          </cell>
          <cell r="E361" t="str">
            <v>L</v>
          </cell>
          <cell r="F361" t="str">
            <v>QUANTUM COMPUTING</v>
          </cell>
        </row>
        <row r="362">
          <cell r="B362">
            <v>2400031647</v>
          </cell>
          <cell r="C362" t="str">
            <v>PUCHALAPALLI SUJITHA  REDDY</v>
          </cell>
          <cell r="D362" t="str">
            <v>24CS2258F</v>
          </cell>
          <cell r="E362" t="str">
            <v>L</v>
          </cell>
          <cell r="F362" t="str">
            <v>NATURAL LANGUAGE PROCESSING</v>
          </cell>
        </row>
        <row r="363">
          <cell r="B363">
            <v>2400031642</v>
          </cell>
          <cell r="C363" t="str">
            <v>KORRAKUTI  MANI  SHANKAR</v>
          </cell>
          <cell r="D363" t="str">
            <v>24CS2260F</v>
          </cell>
          <cell r="E363" t="str">
            <v>L</v>
          </cell>
          <cell r="F363" t="str">
            <v>FOUNDATIONS OF CLOUD-NATIVE COMPUTING &amp; DEVOPS</v>
          </cell>
        </row>
        <row r="364">
          <cell r="B364">
            <v>2400031636</v>
          </cell>
          <cell r="C364" t="str">
            <v>VEPURI ARUN  KUMAR</v>
          </cell>
          <cell r="D364" t="str">
            <v>24CS2258F</v>
          </cell>
          <cell r="E364" t="str">
            <v>L</v>
          </cell>
          <cell r="F364" t="str">
            <v>NATURAL LANGUAGE PROCESSING</v>
          </cell>
        </row>
        <row r="365">
          <cell r="B365">
            <v>2400031633</v>
          </cell>
          <cell r="C365" t="str">
            <v xml:space="preserve">SEETHEPALLI  LAKSHMI  VENKATA SRI HASINI </v>
          </cell>
          <cell r="D365" t="str">
            <v>24CS2258F</v>
          </cell>
          <cell r="E365" t="str">
            <v>L</v>
          </cell>
          <cell r="F365" t="str">
            <v>NATURAL LANGUAGE PROCESSING</v>
          </cell>
        </row>
        <row r="366">
          <cell r="B366">
            <v>2400031628</v>
          </cell>
          <cell r="C366" t="str">
            <v>ANSHU  KUMAR</v>
          </cell>
          <cell r="D366" t="str">
            <v>24CS2237F</v>
          </cell>
          <cell r="E366" t="str">
            <v>L</v>
          </cell>
          <cell r="F366" t="str">
            <v>QUANTUM COMPUTING</v>
          </cell>
        </row>
        <row r="367">
          <cell r="B367">
            <v>2400031626</v>
          </cell>
          <cell r="C367" t="str">
            <v>JAMPALA   PUSHKAL</v>
          </cell>
          <cell r="D367" t="str">
            <v>24CS2264F</v>
          </cell>
          <cell r="E367" t="str">
            <v>L</v>
          </cell>
          <cell r="F367" t="str">
            <v>GAME SYSTEMS DESIGN AND DEVELOPMENT</v>
          </cell>
        </row>
        <row r="368">
          <cell r="B368">
            <v>2400031623</v>
          </cell>
          <cell r="C368" t="str">
            <v>CHELIKANI RAM CHARAN  TEJA</v>
          </cell>
          <cell r="D368" t="str">
            <v>24CS2258F</v>
          </cell>
          <cell r="E368" t="str">
            <v>L</v>
          </cell>
          <cell r="F368" t="str">
            <v>NATURAL LANGUAGE PROCESSING</v>
          </cell>
        </row>
        <row r="369">
          <cell r="B369">
            <v>2400031621</v>
          </cell>
          <cell r="C369" t="str">
            <v>GURRAM  AVINASH</v>
          </cell>
          <cell r="D369" t="str">
            <v>24EE2230F</v>
          </cell>
          <cell r="E369" t="str">
            <v>L</v>
          </cell>
          <cell r="F369" t="str">
            <v>ESSENTIALS OF AUTONOMOUS SYSTEMS</v>
          </cell>
        </row>
        <row r="370">
          <cell r="B370">
            <v>2400031619</v>
          </cell>
          <cell r="C370" t="str">
            <v>ARUMALLA PRANATHI  REDDY</v>
          </cell>
          <cell r="D370" t="str">
            <v>24CS2224F</v>
          </cell>
          <cell r="E370" t="str">
            <v>L</v>
          </cell>
          <cell r="F370" t="str">
            <v>CRYPT ANALYSIS AND CYBER DEFENCE</v>
          </cell>
        </row>
        <row r="371">
          <cell r="B371">
            <v>2400031617</v>
          </cell>
          <cell r="C371" t="str">
            <v>BHARGHAVI  M</v>
          </cell>
          <cell r="D371" t="str">
            <v>24CS2260F</v>
          </cell>
          <cell r="E371" t="str">
            <v>L</v>
          </cell>
          <cell r="F371" t="str">
            <v>FOUNDATIONS OF CLOUD-NATIVE COMPUTING &amp; DEVOPS</v>
          </cell>
        </row>
        <row r="372">
          <cell r="B372">
            <v>2400031611</v>
          </cell>
          <cell r="C372" t="str">
            <v xml:space="preserve">UTKARSH   DWIVEDI </v>
          </cell>
          <cell r="D372" t="str">
            <v>24CS2256F</v>
          </cell>
          <cell r="E372" t="str">
            <v>L</v>
          </cell>
          <cell r="F372" t="str">
            <v>FOUNDATIONS OF BLOCK CHAIN ENGINEERING</v>
          </cell>
        </row>
        <row r="373">
          <cell r="B373">
            <v>2400031597</v>
          </cell>
          <cell r="C373" t="str">
            <v>BHERI  PRAVEENKUMAR</v>
          </cell>
          <cell r="D373" t="str">
            <v>24CS2237F</v>
          </cell>
          <cell r="E373" t="str">
            <v>L</v>
          </cell>
          <cell r="F373" t="str">
            <v>QUANTUM COMPUTING</v>
          </cell>
        </row>
        <row r="374">
          <cell r="B374">
            <v>2400031596</v>
          </cell>
          <cell r="C374" t="str">
            <v>BHARATULA NAGA  VENKATA SIVANI JYOTSNA</v>
          </cell>
          <cell r="D374" t="str">
            <v>24CS2224F</v>
          </cell>
          <cell r="E374" t="str">
            <v>L</v>
          </cell>
          <cell r="F374" t="str">
            <v>CRYPT ANALYSIS AND CYBER DEFENCE</v>
          </cell>
        </row>
        <row r="375">
          <cell r="B375">
            <v>2400031593</v>
          </cell>
          <cell r="C375" t="str">
            <v>NEELI  NAKSHATRA</v>
          </cell>
          <cell r="D375" t="str">
            <v>24CS2264F</v>
          </cell>
          <cell r="E375" t="str">
            <v>L</v>
          </cell>
          <cell r="F375" t="str">
            <v>GAME SYSTEMS DESIGN AND DEVELOPMENT</v>
          </cell>
        </row>
        <row r="376">
          <cell r="B376">
            <v>2400031583</v>
          </cell>
          <cell r="C376" t="str">
            <v>NAGA JWALA THRIDARA  MADIREDDY</v>
          </cell>
          <cell r="D376" t="str">
            <v>24CS2224F</v>
          </cell>
          <cell r="E376" t="str">
            <v>L</v>
          </cell>
          <cell r="F376" t="str">
            <v>CRYPT ANALYSIS AND CYBER DEFENCE</v>
          </cell>
        </row>
        <row r="377">
          <cell r="B377">
            <v>2400031577</v>
          </cell>
          <cell r="C377" t="str">
            <v>ABINASH  BEHERA</v>
          </cell>
          <cell r="D377" t="str">
            <v>24CS2256F</v>
          </cell>
          <cell r="E377" t="str">
            <v>L</v>
          </cell>
          <cell r="F377" t="str">
            <v>FOUNDATIONS OF BLOCK CHAIN ENGINEERING</v>
          </cell>
        </row>
        <row r="378">
          <cell r="B378">
            <v>2400031570</v>
          </cell>
          <cell r="C378" t="str">
            <v>PUVVALA MADHAN  SAI</v>
          </cell>
          <cell r="D378" t="str">
            <v>24CS2258F</v>
          </cell>
          <cell r="E378" t="str">
            <v>L</v>
          </cell>
          <cell r="F378" t="str">
            <v>NATURAL LANGUAGE PROCESSING</v>
          </cell>
        </row>
        <row r="379">
          <cell r="B379">
            <v>2400031565</v>
          </cell>
          <cell r="C379" t="str">
            <v>PASUPULETI  SAMYUKTHA</v>
          </cell>
          <cell r="D379" t="str">
            <v>24CS2255F</v>
          </cell>
          <cell r="E379" t="str">
            <v>L</v>
          </cell>
          <cell r="F379" t="str">
            <v>ADVANCED DATA STRUCTURES</v>
          </cell>
        </row>
        <row r="380">
          <cell r="B380">
            <v>2400031561</v>
          </cell>
          <cell r="C380" t="str">
            <v>GONNABATHULA  TEJASWINI</v>
          </cell>
          <cell r="D380" t="str">
            <v>24CS2258F</v>
          </cell>
          <cell r="E380" t="str">
            <v>L</v>
          </cell>
          <cell r="F380" t="str">
            <v>NATURAL LANGUAGE PROCESSING</v>
          </cell>
        </row>
        <row r="381">
          <cell r="B381">
            <v>2400031552</v>
          </cell>
          <cell r="C381" t="str">
            <v>PASUPULETI YAMINII  DURGA</v>
          </cell>
          <cell r="D381" t="str">
            <v>24CS2260F</v>
          </cell>
          <cell r="E381" t="str">
            <v>L</v>
          </cell>
          <cell r="F381" t="str">
            <v>FOUNDATIONS OF CLOUD-NATIVE COMPUTING &amp; DEVOPS</v>
          </cell>
        </row>
        <row r="382">
          <cell r="B382">
            <v>2400031548</v>
          </cell>
          <cell r="C382" t="str">
            <v>KALIDINDI PRANATHI  SATYA SOWMYA</v>
          </cell>
          <cell r="D382" t="str">
            <v>24CS2227F</v>
          </cell>
          <cell r="E382" t="str">
            <v>L</v>
          </cell>
          <cell r="F382" t="str">
            <v>DATA ANALYTICS AND VISUALIZATION</v>
          </cell>
        </row>
        <row r="383">
          <cell r="B383">
            <v>2400031543</v>
          </cell>
          <cell r="C383" t="str">
            <v>BRAHMAJOSYULA  LOKESH</v>
          </cell>
          <cell r="D383" t="str">
            <v>24CS2239F</v>
          </cell>
          <cell r="E383" t="str">
            <v>L</v>
          </cell>
          <cell r="F383" t="str">
            <v>SOFTWARE VERIFICATION AND VALIDATION</v>
          </cell>
        </row>
        <row r="384">
          <cell r="B384">
            <v>2400031542</v>
          </cell>
          <cell r="C384" t="str">
            <v>KADIYAM UDAYA  SRI</v>
          </cell>
          <cell r="D384" t="str">
            <v>24CS2227F</v>
          </cell>
          <cell r="E384" t="str">
            <v>L</v>
          </cell>
          <cell r="F384" t="str">
            <v>DATA ANALYTICS AND VISUALIZATION</v>
          </cell>
        </row>
        <row r="385">
          <cell r="B385">
            <v>2400031531</v>
          </cell>
          <cell r="C385" t="str">
            <v xml:space="preserve">SALADI SATYA BHAVANI SHANKAR </v>
          </cell>
          <cell r="D385" t="str">
            <v>24CS2221F</v>
          </cell>
          <cell r="E385" t="str">
            <v>L</v>
          </cell>
          <cell r="F385" t="str">
            <v>UX DESIGN</v>
          </cell>
        </row>
        <row r="386">
          <cell r="B386">
            <v>2400031530</v>
          </cell>
          <cell r="C386" t="str">
            <v>PENTAPATI NITHIN  SURYA</v>
          </cell>
          <cell r="D386" t="str">
            <v>24CS2258F</v>
          </cell>
          <cell r="E386" t="str">
            <v>L</v>
          </cell>
          <cell r="F386" t="str">
            <v>NATURAL LANGUAGE PROCESSING</v>
          </cell>
        </row>
        <row r="387">
          <cell r="B387">
            <v>2400031513</v>
          </cell>
          <cell r="C387" t="str">
            <v>PONNURU  YOSHITHA</v>
          </cell>
          <cell r="D387" t="str">
            <v>24CS2255F</v>
          </cell>
          <cell r="E387" t="str">
            <v>L</v>
          </cell>
          <cell r="F387" t="str">
            <v>ADVANCED DATA STRUCTURES</v>
          </cell>
        </row>
        <row r="388">
          <cell r="B388">
            <v>2400031509</v>
          </cell>
          <cell r="C388" t="str">
            <v xml:space="preserve">GANGI REDDY GARI HEM SATHVIK  REDDY </v>
          </cell>
          <cell r="D388" t="str">
            <v>24CS2227F</v>
          </cell>
          <cell r="E388" t="str">
            <v>L</v>
          </cell>
          <cell r="F388" t="str">
            <v>DATA ANALYTICS AND VISUALIZATION</v>
          </cell>
        </row>
        <row r="389">
          <cell r="B389">
            <v>2400031504</v>
          </cell>
          <cell r="C389" t="str">
            <v>PEMMA  RAHUL</v>
          </cell>
          <cell r="D389" t="str">
            <v>24CS2256F</v>
          </cell>
          <cell r="E389" t="str">
            <v>L</v>
          </cell>
          <cell r="F389" t="str">
            <v>FOUNDATIONS OF BLOCK CHAIN ENGINEERING</v>
          </cell>
        </row>
        <row r="390">
          <cell r="B390">
            <v>2400031500</v>
          </cell>
          <cell r="C390" t="str">
            <v>PUNURU  VENU MADHAV REDDY</v>
          </cell>
          <cell r="D390" t="str">
            <v>24CS2258F</v>
          </cell>
          <cell r="E390" t="str">
            <v>L</v>
          </cell>
          <cell r="F390" t="str">
            <v>NATURAL LANGUAGE PROCESSING</v>
          </cell>
        </row>
        <row r="391">
          <cell r="B391">
            <v>2400031498</v>
          </cell>
          <cell r="C391" t="str">
            <v>PATHURI  HARI VENKATA SATYA SANTOSH</v>
          </cell>
          <cell r="D391" t="str">
            <v>24CS2239F</v>
          </cell>
          <cell r="E391" t="str">
            <v>L</v>
          </cell>
          <cell r="F391" t="str">
            <v>SOFTWARE VERIFICATION AND VALIDATION</v>
          </cell>
        </row>
        <row r="392">
          <cell r="B392">
            <v>2400031496</v>
          </cell>
          <cell r="C392" t="str">
            <v xml:space="preserve">DEVARAPALLI  PURNA SIVAIAH </v>
          </cell>
          <cell r="D392" t="str">
            <v>24CS2239F</v>
          </cell>
          <cell r="E392" t="str">
            <v>L</v>
          </cell>
          <cell r="F392" t="str">
            <v>SOFTWARE VERIFICATION AND VALIDATION</v>
          </cell>
        </row>
        <row r="393">
          <cell r="B393">
            <v>2400031491</v>
          </cell>
          <cell r="C393" t="str">
            <v>JONNALAGADDA  ADITYA RAM</v>
          </cell>
          <cell r="D393" t="str">
            <v>24CS2255F</v>
          </cell>
          <cell r="E393" t="str">
            <v>L</v>
          </cell>
          <cell r="F393" t="str">
            <v>ADVANCED DATA STRUCTURES</v>
          </cell>
        </row>
        <row r="394">
          <cell r="B394">
            <v>2400031489</v>
          </cell>
          <cell r="C394" t="str">
            <v>SNEHAL   GHADGE</v>
          </cell>
          <cell r="D394" t="str">
            <v>24CS2264F</v>
          </cell>
          <cell r="E394" t="str">
            <v>L</v>
          </cell>
          <cell r="F394" t="str">
            <v>GAME SYSTEMS DESIGN AND DEVELOPMENT</v>
          </cell>
        </row>
        <row r="395">
          <cell r="B395">
            <v>2400031483</v>
          </cell>
          <cell r="C395" t="str">
            <v>PONNADA  BIKSHAPATHI</v>
          </cell>
          <cell r="D395" t="str">
            <v>24CS2255F</v>
          </cell>
          <cell r="E395" t="str">
            <v>L</v>
          </cell>
          <cell r="F395" t="str">
            <v>ADVANCED DATA STRUCTURES</v>
          </cell>
        </row>
        <row r="396">
          <cell r="B396">
            <v>2400031477</v>
          </cell>
          <cell r="C396" t="str">
            <v>MADDULA  SHYAM JASHWANTH</v>
          </cell>
          <cell r="D396" t="str">
            <v>24CS2256F</v>
          </cell>
          <cell r="E396" t="str">
            <v>L</v>
          </cell>
          <cell r="F396" t="str">
            <v>FOUNDATIONS OF BLOCK CHAIN ENGINEERING</v>
          </cell>
        </row>
        <row r="397">
          <cell r="B397">
            <v>2400031474</v>
          </cell>
          <cell r="C397" t="str">
            <v>DODDI SAI KUMAR</v>
          </cell>
          <cell r="D397" t="str">
            <v>24CS2237F</v>
          </cell>
          <cell r="E397" t="str">
            <v>L</v>
          </cell>
          <cell r="F397" t="str">
            <v>QUANTUM COMPUTING</v>
          </cell>
        </row>
        <row r="398">
          <cell r="B398">
            <v>2400031465</v>
          </cell>
          <cell r="C398" t="str">
            <v>RAJAN  ARYAN</v>
          </cell>
          <cell r="D398" t="str">
            <v>24CS2264F</v>
          </cell>
          <cell r="E398" t="str">
            <v>L</v>
          </cell>
          <cell r="F398" t="str">
            <v>GAME SYSTEMS DESIGN AND DEVELOPMENT</v>
          </cell>
        </row>
        <row r="399">
          <cell r="B399">
            <v>2400031464</v>
          </cell>
          <cell r="C399" t="str">
            <v>DAMU  BALAJI</v>
          </cell>
          <cell r="D399" t="str">
            <v>24CS2255F</v>
          </cell>
          <cell r="E399" t="str">
            <v>L</v>
          </cell>
          <cell r="F399" t="str">
            <v>ADVANCED DATA STRUCTURES</v>
          </cell>
        </row>
        <row r="400">
          <cell r="B400">
            <v>2400031458</v>
          </cell>
          <cell r="C400" t="str">
            <v>KONANGI   LINGAIAH</v>
          </cell>
          <cell r="D400" t="str">
            <v>24CS2227F</v>
          </cell>
          <cell r="E400" t="str">
            <v>L</v>
          </cell>
          <cell r="F400" t="str">
            <v>DATA ANALYTICS AND VISUALIZATION</v>
          </cell>
        </row>
        <row r="401">
          <cell r="B401">
            <v>2400031452</v>
          </cell>
          <cell r="C401" t="str">
            <v>KOTA  GURSHITHA NAIDU</v>
          </cell>
          <cell r="D401" t="str">
            <v>24CS2255F</v>
          </cell>
          <cell r="E401" t="str">
            <v>L</v>
          </cell>
          <cell r="F401" t="str">
            <v>ADVANCED DATA STRUCTURES</v>
          </cell>
        </row>
        <row r="402">
          <cell r="B402">
            <v>2400031445</v>
          </cell>
          <cell r="C402" t="str">
            <v>RAGA  MANVITHA CHALLAGURUGULA</v>
          </cell>
          <cell r="D402" t="str">
            <v>24EE2230F</v>
          </cell>
          <cell r="E402" t="str">
            <v>L</v>
          </cell>
          <cell r="F402" t="str">
            <v>ESSENTIALS OF AUTONOMOUS SYSTEMS</v>
          </cell>
        </row>
        <row r="403">
          <cell r="B403">
            <v>2400031444</v>
          </cell>
          <cell r="C403" t="str">
            <v>CHANDOLU   SARVANI</v>
          </cell>
          <cell r="D403" t="str">
            <v>24CS2260F</v>
          </cell>
          <cell r="E403" t="str">
            <v>L</v>
          </cell>
          <cell r="F403" t="str">
            <v>FOUNDATIONS OF CLOUD-NATIVE COMPUTING &amp; DEVOPS</v>
          </cell>
        </row>
        <row r="404">
          <cell r="B404">
            <v>2400031435</v>
          </cell>
          <cell r="C404" t="str">
            <v>BUYYANAPRAGADA  LAKSHMI MYTRAYEE</v>
          </cell>
          <cell r="D404" t="str">
            <v>24CS2255F</v>
          </cell>
          <cell r="E404" t="str">
            <v>L</v>
          </cell>
          <cell r="F404" t="str">
            <v>ADVANCED DATA STRUCTURES</v>
          </cell>
        </row>
        <row r="405">
          <cell r="B405">
            <v>2400031433</v>
          </cell>
          <cell r="C405" t="str">
            <v>PALLA   POOJITHA</v>
          </cell>
          <cell r="D405" t="str">
            <v>24CS2255F</v>
          </cell>
          <cell r="E405" t="str">
            <v>L</v>
          </cell>
          <cell r="F405" t="str">
            <v>ADVANCED DATA STRUCTURES</v>
          </cell>
        </row>
        <row r="406">
          <cell r="B406">
            <v>2400031425</v>
          </cell>
          <cell r="C406" t="str">
            <v>BHASKARLA  SOMITHA</v>
          </cell>
          <cell r="D406" t="str">
            <v>24CS2221F</v>
          </cell>
          <cell r="E406" t="str">
            <v>L</v>
          </cell>
          <cell r="F406" t="str">
            <v>UX DESIGN</v>
          </cell>
        </row>
        <row r="407">
          <cell r="B407">
            <v>2400031424</v>
          </cell>
          <cell r="C407" t="str">
            <v>GARAPATI  TARUN CHOWDARY</v>
          </cell>
          <cell r="D407" t="str">
            <v>24CS2237F</v>
          </cell>
          <cell r="E407" t="str">
            <v>L</v>
          </cell>
          <cell r="F407" t="str">
            <v>QUANTUM COMPUTING</v>
          </cell>
        </row>
        <row r="408">
          <cell r="B408">
            <v>2400031411</v>
          </cell>
          <cell r="C408" t="str">
            <v>GUDA MANIDEEP  REDDY</v>
          </cell>
          <cell r="D408" t="str">
            <v>24EE2230F</v>
          </cell>
          <cell r="E408" t="str">
            <v>L</v>
          </cell>
          <cell r="F408" t="str">
            <v>ESSENTIALS OF AUTONOMOUS SYSTEMS</v>
          </cell>
        </row>
        <row r="409">
          <cell r="B409">
            <v>2400031409</v>
          </cell>
          <cell r="C409" t="str">
            <v>GAMIDI  VENKATA  AJAY</v>
          </cell>
          <cell r="D409" t="str">
            <v>24CS2227F</v>
          </cell>
          <cell r="E409" t="str">
            <v>L</v>
          </cell>
          <cell r="F409" t="str">
            <v>DATA ANALYTICS AND VISUALIZATION</v>
          </cell>
        </row>
        <row r="410">
          <cell r="B410">
            <v>2400031407</v>
          </cell>
          <cell r="C410" t="str">
            <v>KATE SAI LIKHITHA</v>
          </cell>
          <cell r="D410" t="str">
            <v>24CS2221F</v>
          </cell>
          <cell r="E410" t="str">
            <v>L</v>
          </cell>
          <cell r="F410" t="str">
            <v>UX DESIGN</v>
          </cell>
        </row>
        <row r="411">
          <cell r="B411">
            <v>2400031404</v>
          </cell>
          <cell r="C411" t="str">
            <v>VENKATA SREE HARSHA KUDARAVALLI</v>
          </cell>
          <cell r="D411" t="str">
            <v>24CS2256F</v>
          </cell>
          <cell r="E411" t="str">
            <v>L</v>
          </cell>
          <cell r="F411" t="str">
            <v>FOUNDATIONS OF BLOCK CHAIN ENGINEERING</v>
          </cell>
        </row>
        <row r="412">
          <cell r="B412">
            <v>2400031402</v>
          </cell>
          <cell r="C412" t="str">
            <v>PRATEEK  MISHRA</v>
          </cell>
          <cell r="D412" t="str">
            <v>24CS2264F</v>
          </cell>
          <cell r="E412" t="str">
            <v>L</v>
          </cell>
          <cell r="F412" t="str">
            <v>GAME SYSTEMS DESIGN AND DEVELOPMENT</v>
          </cell>
        </row>
        <row r="413">
          <cell r="B413">
            <v>2400031401</v>
          </cell>
          <cell r="C413" t="str">
            <v>MOHAMMAD  ARIF</v>
          </cell>
          <cell r="D413" t="str">
            <v>24CS2264F</v>
          </cell>
          <cell r="E413" t="str">
            <v>L</v>
          </cell>
          <cell r="F413" t="str">
            <v>GAME SYSTEMS DESIGN AND DEVELOPMENT</v>
          </cell>
        </row>
        <row r="414">
          <cell r="B414">
            <v>2400031400</v>
          </cell>
          <cell r="C414" t="str">
            <v>TANMAYA  KUMAR SAHU</v>
          </cell>
          <cell r="D414" t="str">
            <v>24CS2221F</v>
          </cell>
          <cell r="E414" t="str">
            <v>L</v>
          </cell>
          <cell r="F414" t="str">
            <v>UX DESIGN</v>
          </cell>
        </row>
        <row r="415">
          <cell r="B415">
            <v>2400031399</v>
          </cell>
          <cell r="C415" t="str">
            <v>NANDURI  TULASI RAM</v>
          </cell>
          <cell r="D415" t="str">
            <v>24CS2256F</v>
          </cell>
          <cell r="E415" t="str">
            <v>L</v>
          </cell>
          <cell r="F415" t="str">
            <v>FOUNDATIONS OF BLOCK CHAIN ENGINEERING</v>
          </cell>
        </row>
        <row r="416">
          <cell r="B416">
            <v>2400031395</v>
          </cell>
          <cell r="C416" t="str">
            <v>BOBBADI  GOWTHAM</v>
          </cell>
          <cell r="D416" t="str">
            <v>24CS2255F</v>
          </cell>
          <cell r="E416" t="str">
            <v>L</v>
          </cell>
          <cell r="F416" t="str">
            <v>ADVANCED DATA STRUCTURES</v>
          </cell>
        </row>
        <row r="417">
          <cell r="B417">
            <v>2400031387</v>
          </cell>
          <cell r="C417" t="str">
            <v>NIRUJOGI  SRIKAR</v>
          </cell>
          <cell r="D417" t="str">
            <v>24CS2264F</v>
          </cell>
          <cell r="E417" t="str">
            <v>L</v>
          </cell>
          <cell r="F417" t="str">
            <v>GAME SYSTEMS DESIGN AND DEVELOPMENT</v>
          </cell>
        </row>
        <row r="418">
          <cell r="B418">
            <v>2400031375</v>
          </cell>
          <cell r="C418" t="str">
            <v>ANUMULA  VENKATA GIRIDHAR REDDY</v>
          </cell>
          <cell r="D418" t="str">
            <v>24CS2221F</v>
          </cell>
          <cell r="E418" t="str">
            <v>L</v>
          </cell>
          <cell r="F418" t="str">
            <v>UX DESIGN</v>
          </cell>
        </row>
        <row r="419">
          <cell r="B419">
            <v>2400031367</v>
          </cell>
          <cell r="C419" t="str">
            <v>SHAIK  YASEEN</v>
          </cell>
          <cell r="D419" t="str">
            <v>24CS2260F</v>
          </cell>
          <cell r="E419" t="str">
            <v>L</v>
          </cell>
          <cell r="F419" t="str">
            <v>FOUNDATIONS OF CLOUD-NATIVE COMPUTING &amp; DEVOPS</v>
          </cell>
        </row>
        <row r="420">
          <cell r="B420">
            <v>2400031365</v>
          </cell>
          <cell r="C420" t="str">
            <v>SRIRAMULA JAYA  SANKARA SAI MANIKANTA</v>
          </cell>
          <cell r="D420" t="str">
            <v>24CS2239F</v>
          </cell>
          <cell r="E420" t="str">
            <v>L</v>
          </cell>
          <cell r="F420" t="str">
            <v>SOFTWARE VERIFICATION AND VALIDATION</v>
          </cell>
        </row>
        <row r="421">
          <cell r="B421">
            <v>2400031353</v>
          </cell>
          <cell r="C421" t="str">
            <v xml:space="preserve">SOMISETTY  SAHAANA </v>
          </cell>
          <cell r="D421" t="str">
            <v>24CS2258F</v>
          </cell>
          <cell r="E421" t="str">
            <v>L</v>
          </cell>
          <cell r="F421" t="str">
            <v>NATURAL LANGUAGE PROCESSING</v>
          </cell>
        </row>
        <row r="422">
          <cell r="B422">
            <v>2400031352</v>
          </cell>
          <cell r="C422" t="str">
            <v>MALLIPAMU  PAVAN DURGA MANIKANTA</v>
          </cell>
          <cell r="D422" t="str">
            <v>24CS2227F</v>
          </cell>
          <cell r="E422" t="str">
            <v>L</v>
          </cell>
          <cell r="F422" t="str">
            <v>DATA ANALYTICS AND VISUALIZATION</v>
          </cell>
        </row>
        <row r="423">
          <cell r="B423">
            <v>2400031346</v>
          </cell>
          <cell r="C423" t="str">
            <v>TETALI  KRUSHNA SRIKAR REDDY</v>
          </cell>
          <cell r="D423" t="str">
            <v>24CS2221F</v>
          </cell>
          <cell r="E423" t="str">
            <v>L</v>
          </cell>
          <cell r="F423" t="str">
            <v>UX DESIGN</v>
          </cell>
        </row>
        <row r="424">
          <cell r="B424">
            <v>2400031345</v>
          </cell>
          <cell r="C424" t="str">
            <v>MYLA  SRINIVAS</v>
          </cell>
          <cell r="D424" t="str">
            <v>24CS2237F</v>
          </cell>
          <cell r="E424" t="str">
            <v>L</v>
          </cell>
          <cell r="F424" t="str">
            <v>QUANTUM COMPUTING</v>
          </cell>
        </row>
        <row r="425">
          <cell r="B425">
            <v>2400031337</v>
          </cell>
          <cell r="C425" t="str">
            <v>ATTI  PAVAN</v>
          </cell>
          <cell r="D425" t="str">
            <v>24CS2255F</v>
          </cell>
          <cell r="E425" t="str">
            <v>L</v>
          </cell>
          <cell r="F425" t="str">
            <v>ADVANCED DATA STRUCTURES</v>
          </cell>
        </row>
        <row r="426">
          <cell r="B426">
            <v>2400031331</v>
          </cell>
          <cell r="C426" t="str">
            <v>KOYYANA   TEJESWARA NAIDU</v>
          </cell>
          <cell r="D426" t="str">
            <v>24CS2255F</v>
          </cell>
          <cell r="E426" t="str">
            <v>L</v>
          </cell>
          <cell r="F426" t="str">
            <v>ADVANCED DATA STRUCTURES</v>
          </cell>
        </row>
        <row r="427">
          <cell r="B427">
            <v>2400031329</v>
          </cell>
          <cell r="C427" t="str">
            <v>DUSANAPUDI HIMA KESAVA</v>
          </cell>
          <cell r="D427" t="str">
            <v>24CS2237F</v>
          </cell>
          <cell r="E427" t="str">
            <v>L</v>
          </cell>
          <cell r="F427" t="str">
            <v>QUANTUM COMPUTING</v>
          </cell>
        </row>
        <row r="428">
          <cell r="B428">
            <v>2400031327</v>
          </cell>
          <cell r="C428" t="str">
            <v>DUSANAPUDI LOKESH NARASIMHA</v>
          </cell>
          <cell r="D428" t="str">
            <v>24CS2237F</v>
          </cell>
          <cell r="E428" t="str">
            <v>L</v>
          </cell>
          <cell r="F428" t="str">
            <v>QUANTUM COMPUTING</v>
          </cell>
        </row>
        <row r="429">
          <cell r="B429">
            <v>2400031322</v>
          </cell>
          <cell r="C429" t="str">
            <v>DESAM  CHANDRASEKHAR REDDY</v>
          </cell>
          <cell r="D429" t="str">
            <v>24CS2255F</v>
          </cell>
          <cell r="E429" t="str">
            <v>L</v>
          </cell>
          <cell r="F429" t="str">
            <v>ADVANCED DATA STRUCTURES</v>
          </cell>
        </row>
        <row r="430">
          <cell r="B430">
            <v>2400031321</v>
          </cell>
          <cell r="C430" t="str">
            <v>BANDARU   VAMSI KRISHNA</v>
          </cell>
          <cell r="D430" t="str">
            <v>24CS2260F</v>
          </cell>
          <cell r="E430" t="str">
            <v>L</v>
          </cell>
          <cell r="F430" t="str">
            <v>FOUNDATIONS OF CLOUD-NATIVE COMPUTING &amp; DEVOPS</v>
          </cell>
        </row>
        <row r="431">
          <cell r="B431">
            <v>2400031320</v>
          </cell>
          <cell r="C431" t="str">
            <v>BHAVANAM  KARTHIKEYA REDDY</v>
          </cell>
          <cell r="D431" t="str">
            <v>24CS2255F</v>
          </cell>
          <cell r="E431" t="str">
            <v>L</v>
          </cell>
          <cell r="F431" t="str">
            <v>ADVANCED DATA STRUCTURES</v>
          </cell>
        </row>
        <row r="432">
          <cell r="B432">
            <v>2400031319</v>
          </cell>
          <cell r="C432" t="str">
            <v>ELLURU SAI YASWANTH</v>
          </cell>
          <cell r="D432" t="str">
            <v>24CS2227F</v>
          </cell>
          <cell r="E432" t="str">
            <v>L</v>
          </cell>
          <cell r="F432" t="str">
            <v>DATA ANALYTICS AND VISUALIZATION</v>
          </cell>
        </row>
        <row r="433">
          <cell r="B433">
            <v>2400031313</v>
          </cell>
          <cell r="C433" t="str">
            <v>PANDALANENI SRI PAVAN  TEJA</v>
          </cell>
          <cell r="D433" t="str">
            <v>24CS2237F</v>
          </cell>
          <cell r="E433" t="str">
            <v>L</v>
          </cell>
          <cell r="F433" t="str">
            <v>QUANTUM COMPUTING</v>
          </cell>
        </row>
        <row r="434">
          <cell r="B434">
            <v>2400031312</v>
          </cell>
          <cell r="C434" t="str">
            <v>DANNANA  DURGA PRASAD</v>
          </cell>
          <cell r="D434" t="str">
            <v>24EE2230F</v>
          </cell>
          <cell r="E434" t="str">
            <v>L</v>
          </cell>
          <cell r="F434" t="str">
            <v>ESSENTIALS OF AUTONOMOUS SYSTEMS</v>
          </cell>
        </row>
        <row r="435">
          <cell r="B435">
            <v>2400031305</v>
          </cell>
          <cell r="C435" t="str">
            <v>VANAMA   SAI LAKSHMI CHINMAYI</v>
          </cell>
          <cell r="D435" t="str">
            <v>24CS2239F</v>
          </cell>
          <cell r="E435" t="str">
            <v>L</v>
          </cell>
          <cell r="F435" t="str">
            <v>SOFTWARE VERIFICATION AND VALIDATION</v>
          </cell>
        </row>
        <row r="436">
          <cell r="B436">
            <v>2400031301</v>
          </cell>
          <cell r="C436" t="str">
            <v>MOHAMMED  AYAZ</v>
          </cell>
          <cell r="D436" t="str">
            <v>24CS2221F</v>
          </cell>
          <cell r="E436" t="str">
            <v>L</v>
          </cell>
          <cell r="F436" t="str">
            <v>UX DESIGN</v>
          </cell>
        </row>
        <row r="437">
          <cell r="B437">
            <v>2400031300</v>
          </cell>
          <cell r="C437" t="str">
            <v>SHAIK   SHOAIB</v>
          </cell>
          <cell r="D437" t="str">
            <v>24CS2239F</v>
          </cell>
          <cell r="E437" t="str">
            <v>L</v>
          </cell>
          <cell r="F437" t="str">
            <v>SOFTWARE VERIFICATION AND VALIDATION</v>
          </cell>
        </row>
        <row r="438">
          <cell r="B438">
            <v>2400031294</v>
          </cell>
          <cell r="C438" t="str">
            <v>BODA  VEDARDHA</v>
          </cell>
          <cell r="D438" t="str">
            <v>24CS2227F</v>
          </cell>
          <cell r="E438" t="str">
            <v>L</v>
          </cell>
          <cell r="F438" t="str">
            <v>DATA ANALYTICS AND VISUALIZATION</v>
          </cell>
        </row>
        <row r="439">
          <cell r="B439">
            <v>2400031293</v>
          </cell>
          <cell r="C439" t="str">
            <v>CHANDALURI  PHANINDRA REDDY</v>
          </cell>
          <cell r="D439" t="str">
            <v>24CS2239F</v>
          </cell>
          <cell r="E439" t="str">
            <v>L</v>
          </cell>
          <cell r="F439" t="str">
            <v>SOFTWARE VERIFICATION AND VALIDATION</v>
          </cell>
        </row>
        <row r="440">
          <cell r="B440">
            <v>2400031290</v>
          </cell>
          <cell r="C440" t="str">
            <v>KARRE   HEMA SAI SRI NARESH</v>
          </cell>
          <cell r="D440" t="str">
            <v>24CS2239F</v>
          </cell>
          <cell r="E440" t="str">
            <v>L</v>
          </cell>
          <cell r="F440" t="str">
            <v>SOFTWARE VERIFICATION AND VALIDATION</v>
          </cell>
        </row>
        <row r="441">
          <cell r="B441">
            <v>2400031287</v>
          </cell>
          <cell r="C441" t="str">
            <v>MERUGU   VARUN GEETH</v>
          </cell>
          <cell r="D441" t="str">
            <v>24CS2264F</v>
          </cell>
          <cell r="E441" t="str">
            <v>L</v>
          </cell>
          <cell r="F441" t="str">
            <v>GAME SYSTEMS DESIGN AND DEVELOPMENT</v>
          </cell>
        </row>
        <row r="442">
          <cell r="B442">
            <v>2400031286</v>
          </cell>
          <cell r="C442" t="str">
            <v>BHIMANA SAI  ROOPIKA</v>
          </cell>
          <cell r="D442" t="str">
            <v>24CS2255F</v>
          </cell>
          <cell r="E442" t="str">
            <v>L</v>
          </cell>
          <cell r="F442" t="str">
            <v>ADVANCED DATA STRUCTURES</v>
          </cell>
        </row>
        <row r="443">
          <cell r="B443">
            <v>2400031285</v>
          </cell>
          <cell r="C443" t="str">
            <v>ADINI   LASYA SREE</v>
          </cell>
          <cell r="D443" t="str">
            <v>24CS2227F</v>
          </cell>
          <cell r="E443" t="str">
            <v>L</v>
          </cell>
          <cell r="F443" t="str">
            <v>DATA ANALYTICS AND VISUALIZATION</v>
          </cell>
        </row>
        <row r="444">
          <cell r="B444">
            <v>2400031279</v>
          </cell>
          <cell r="C444" t="str">
            <v>LINGAM  LALASA</v>
          </cell>
          <cell r="D444" t="str">
            <v>24CS2255F</v>
          </cell>
          <cell r="E444" t="str">
            <v>L</v>
          </cell>
          <cell r="F444" t="str">
            <v>ADVANCED DATA STRUCTURES</v>
          </cell>
        </row>
        <row r="445">
          <cell r="B445">
            <v>2400031278</v>
          </cell>
          <cell r="C445" t="str">
            <v>SANKALA  BALU SANJEEV</v>
          </cell>
          <cell r="D445" t="str">
            <v>24CS2239F</v>
          </cell>
          <cell r="E445" t="str">
            <v>L</v>
          </cell>
          <cell r="F445" t="str">
            <v>SOFTWARE VERIFICATION AND VALIDATION</v>
          </cell>
        </row>
        <row r="446">
          <cell r="B446">
            <v>2400031274</v>
          </cell>
          <cell r="C446" t="str">
            <v>AADITYA   DEV</v>
          </cell>
          <cell r="D446" t="str">
            <v>24EE2230F</v>
          </cell>
          <cell r="E446" t="str">
            <v>L</v>
          </cell>
          <cell r="F446" t="str">
            <v>ESSENTIALS OF AUTONOMOUS SYSTEMS</v>
          </cell>
        </row>
        <row r="447">
          <cell r="B447">
            <v>2400031263</v>
          </cell>
          <cell r="C447" t="str">
            <v>NANNAPANENI  DHIGVIJAY</v>
          </cell>
          <cell r="D447" t="str">
            <v>24CS2255F</v>
          </cell>
          <cell r="E447" t="str">
            <v>L</v>
          </cell>
          <cell r="F447" t="str">
            <v>ADVANCED DATA STRUCTURES</v>
          </cell>
        </row>
        <row r="448">
          <cell r="B448">
            <v>2400031259</v>
          </cell>
          <cell r="C448" t="str">
            <v>KATHARI  MEGHANA SIRI</v>
          </cell>
          <cell r="D448" t="str">
            <v>24CS2221F</v>
          </cell>
          <cell r="E448" t="str">
            <v>L</v>
          </cell>
          <cell r="F448" t="str">
            <v>UX DESIGN</v>
          </cell>
        </row>
        <row r="449">
          <cell r="B449">
            <v>2400031255</v>
          </cell>
          <cell r="C449" t="str">
            <v>MOTHUKURI  NIKHIL KARTHIK</v>
          </cell>
          <cell r="D449" t="str">
            <v>24CS2221F</v>
          </cell>
          <cell r="E449" t="str">
            <v>L</v>
          </cell>
          <cell r="F449" t="str">
            <v>UX DESIGN</v>
          </cell>
        </row>
        <row r="450">
          <cell r="B450">
            <v>2400031254</v>
          </cell>
          <cell r="C450" t="str">
            <v>PADAMATA  TARUN TANMAY</v>
          </cell>
          <cell r="D450" t="str">
            <v>24CS2239F</v>
          </cell>
          <cell r="E450" t="str">
            <v>L</v>
          </cell>
          <cell r="F450" t="str">
            <v>SOFTWARE VERIFICATION AND VALIDATION</v>
          </cell>
        </row>
        <row r="451">
          <cell r="B451">
            <v>2400031253</v>
          </cell>
          <cell r="C451" t="str">
            <v>DEVKAR RAVI RAJ</v>
          </cell>
          <cell r="D451" t="str">
            <v>24CS2255F</v>
          </cell>
          <cell r="E451" t="str">
            <v>L</v>
          </cell>
          <cell r="F451" t="str">
            <v>ADVANCED DATA STRUCTURES</v>
          </cell>
        </row>
        <row r="452">
          <cell r="B452">
            <v>2400031252</v>
          </cell>
          <cell r="C452" t="str">
            <v>GULIPALLI  GOVIND SAI VARSHITH</v>
          </cell>
          <cell r="D452" t="str">
            <v>24CS2255F</v>
          </cell>
          <cell r="E452" t="str">
            <v>L</v>
          </cell>
          <cell r="F452" t="str">
            <v>ADVANCED DATA STRUCTURES</v>
          </cell>
        </row>
        <row r="453">
          <cell r="B453">
            <v>2400031250</v>
          </cell>
          <cell r="C453" t="str">
            <v>THOTA  MAHESH</v>
          </cell>
          <cell r="D453" t="str">
            <v>24CS2260F</v>
          </cell>
          <cell r="E453" t="str">
            <v>L</v>
          </cell>
          <cell r="F453" t="str">
            <v>FOUNDATIONS OF CLOUD-NATIVE COMPUTING &amp; DEVOPS</v>
          </cell>
        </row>
        <row r="454">
          <cell r="B454">
            <v>2400031248</v>
          </cell>
          <cell r="C454" t="str">
            <v>YAMALA   SURYA KIRAN</v>
          </cell>
          <cell r="D454" t="str">
            <v>24CS2221F</v>
          </cell>
          <cell r="E454" t="str">
            <v>L</v>
          </cell>
          <cell r="F454" t="str">
            <v>UX DESIGN</v>
          </cell>
        </row>
        <row r="455">
          <cell r="B455">
            <v>2400031247</v>
          </cell>
          <cell r="C455" t="str">
            <v>MOHAMMED SHAHID AHMED</v>
          </cell>
          <cell r="D455" t="str">
            <v>24CS2256F</v>
          </cell>
          <cell r="E455" t="str">
            <v>L</v>
          </cell>
          <cell r="F455" t="str">
            <v>FOUNDATIONS OF BLOCK CHAIN ENGINEERING</v>
          </cell>
        </row>
        <row r="456">
          <cell r="B456">
            <v>2400031243</v>
          </cell>
          <cell r="C456" t="str">
            <v>KAVI  SAI VENKATA NAGA SANDILYA</v>
          </cell>
          <cell r="D456" t="str">
            <v>24CS2255F</v>
          </cell>
          <cell r="E456" t="str">
            <v>L</v>
          </cell>
          <cell r="F456" t="str">
            <v>ADVANCED DATA STRUCTURES</v>
          </cell>
        </row>
        <row r="457">
          <cell r="B457">
            <v>2400031240</v>
          </cell>
          <cell r="C457" t="str">
            <v>POTNURU  ROHITH</v>
          </cell>
          <cell r="D457" t="str">
            <v>24CS2224F</v>
          </cell>
          <cell r="E457" t="str">
            <v>L</v>
          </cell>
          <cell r="F457" t="str">
            <v>CRYPT ANALYSIS AND CYBER DEFENCE</v>
          </cell>
        </row>
        <row r="458">
          <cell r="B458">
            <v>2400031239</v>
          </cell>
          <cell r="C458" t="str">
            <v>CHILUKOTI   CHARAN TEJA</v>
          </cell>
          <cell r="D458" t="str">
            <v>24CS2260F</v>
          </cell>
          <cell r="E458" t="str">
            <v>L</v>
          </cell>
          <cell r="F458" t="str">
            <v>FOUNDATIONS OF CLOUD-NATIVE COMPUTING &amp; DEVOPS</v>
          </cell>
        </row>
        <row r="459">
          <cell r="B459">
            <v>2400031231</v>
          </cell>
          <cell r="C459" t="str">
            <v>SHAIK  MOHAMMED ALTHAF</v>
          </cell>
          <cell r="D459" t="str">
            <v>24CS2255F</v>
          </cell>
          <cell r="E459" t="str">
            <v>L</v>
          </cell>
          <cell r="F459" t="str">
            <v>ADVANCED DATA STRUCTURES</v>
          </cell>
        </row>
        <row r="460">
          <cell r="B460">
            <v>2400031230</v>
          </cell>
          <cell r="C460" t="str">
            <v>CHALAVADI  NAGA SWAROOP</v>
          </cell>
          <cell r="D460" t="str">
            <v>24CS2255F</v>
          </cell>
          <cell r="E460" t="str">
            <v>L</v>
          </cell>
          <cell r="F460" t="str">
            <v>ADVANCED DATA STRUCTURES</v>
          </cell>
        </row>
        <row r="461">
          <cell r="B461">
            <v>2400031227</v>
          </cell>
          <cell r="C461" t="str">
            <v>NALLA  ROHITH</v>
          </cell>
          <cell r="D461" t="str">
            <v>24CS2255F</v>
          </cell>
          <cell r="E461" t="str">
            <v>L</v>
          </cell>
          <cell r="F461" t="str">
            <v>ADVANCED DATA STRUCTURES</v>
          </cell>
        </row>
        <row r="462">
          <cell r="B462">
            <v>2400031225</v>
          </cell>
          <cell r="C462" t="str">
            <v>BAVANA  RAKESH</v>
          </cell>
          <cell r="D462" t="str">
            <v>24CS2256F</v>
          </cell>
          <cell r="E462" t="str">
            <v>L</v>
          </cell>
          <cell r="F462" t="str">
            <v>FOUNDATIONS OF BLOCK CHAIN ENGINEERING</v>
          </cell>
        </row>
        <row r="463">
          <cell r="B463">
            <v>2400031223</v>
          </cell>
          <cell r="C463" t="str">
            <v>PUPPALA   BHANU TEJA</v>
          </cell>
          <cell r="D463" t="str">
            <v>24CS2224F</v>
          </cell>
          <cell r="E463" t="str">
            <v>L</v>
          </cell>
          <cell r="F463" t="str">
            <v>CRYPT ANALYSIS AND CYBER DEFENCE</v>
          </cell>
        </row>
        <row r="464">
          <cell r="B464">
            <v>2400031218</v>
          </cell>
          <cell r="C464" t="str">
            <v>INDUKURI  AKSHAYA VARMA</v>
          </cell>
          <cell r="D464" t="str">
            <v>24CS2255F</v>
          </cell>
          <cell r="E464" t="str">
            <v>L</v>
          </cell>
          <cell r="F464" t="str">
            <v>ADVANCED DATA STRUCTURES</v>
          </cell>
        </row>
        <row r="465">
          <cell r="B465">
            <v>2400031204</v>
          </cell>
          <cell r="C465" t="str">
            <v>CHINTHALAPATI  KOSALANANDA SUGUNA BHARADWAJ</v>
          </cell>
          <cell r="D465" t="str">
            <v>24CS2255F</v>
          </cell>
          <cell r="E465" t="str">
            <v>L</v>
          </cell>
          <cell r="F465" t="str">
            <v>ADVANCED DATA STRUCTURES</v>
          </cell>
        </row>
        <row r="466">
          <cell r="B466">
            <v>2400031200</v>
          </cell>
          <cell r="C466" t="str">
            <v>VADAKATTU   HEMANTH</v>
          </cell>
          <cell r="D466" t="str">
            <v>24CS2260F</v>
          </cell>
          <cell r="E466" t="str">
            <v>L</v>
          </cell>
          <cell r="F466" t="str">
            <v>FOUNDATIONS OF CLOUD-NATIVE COMPUTING &amp; DEVOPS</v>
          </cell>
        </row>
        <row r="467">
          <cell r="B467">
            <v>2400031193</v>
          </cell>
          <cell r="C467" t="str">
            <v>DAKSHINA   JAYANTH KUMAR</v>
          </cell>
          <cell r="D467" t="str">
            <v>24CS2224F</v>
          </cell>
          <cell r="E467" t="str">
            <v>L</v>
          </cell>
          <cell r="F467" t="str">
            <v>CRYPT ANALYSIS AND CYBER DEFENCE</v>
          </cell>
        </row>
        <row r="468">
          <cell r="B468">
            <v>2400031191</v>
          </cell>
          <cell r="C468" t="str">
            <v>BITRA   BHUVANESH</v>
          </cell>
          <cell r="D468" t="str">
            <v>24CS2224F</v>
          </cell>
          <cell r="E468" t="str">
            <v>L</v>
          </cell>
          <cell r="F468" t="str">
            <v>CRYPT ANALYSIS AND CYBER DEFENCE</v>
          </cell>
        </row>
        <row r="469">
          <cell r="B469">
            <v>2400031185</v>
          </cell>
          <cell r="C469" t="str">
            <v>CHITTURI  N V M P S SURYA KUMAR</v>
          </cell>
          <cell r="D469" t="str">
            <v>24CS2221F</v>
          </cell>
          <cell r="E469" t="str">
            <v>L</v>
          </cell>
          <cell r="F469" t="str">
            <v>UX DESIGN</v>
          </cell>
        </row>
        <row r="470">
          <cell r="B470">
            <v>2400031182</v>
          </cell>
          <cell r="C470" t="str">
            <v>NAGULA  HARI KOTI AKHIL KUMAR</v>
          </cell>
          <cell r="D470" t="str">
            <v>24CS2224F</v>
          </cell>
          <cell r="E470" t="str">
            <v>L</v>
          </cell>
          <cell r="F470" t="str">
            <v>CRYPT ANALYSIS AND CYBER DEFENCE</v>
          </cell>
        </row>
        <row r="471">
          <cell r="B471">
            <v>2400031179</v>
          </cell>
          <cell r="C471" t="str">
            <v>THATISHETTI  SANATH KUMAR</v>
          </cell>
          <cell r="D471" t="str">
            <v>24CS2239F</v>
          </cell>
          <cell r="E471" t="str">
            <v>L</v>
          </cell>
          <cell r="F471" t="str">
            <v>SOFTWARE VERIFICATION AND VALIDATION</v>
          </cell>
        </row>
        <row r="472">
          <cell r="B472">
            <v>2400031178</v>
          </cell>
          <cell r="C472" t="str">
            <v>NIDUMUKKALA  V SIVA SAI NAGA MANI JAYANTH</v>
          </cell>
          <cell r="D472" t="str">
            <v>24CS2260F</v>
          </cell>
          <cell r="E472" t="str">
            <v>L</v>
          </cell>
          <cell r="F472" t="str">
            <v>FOUNDATIONS OF CLOUD-NATIVE COMPUTING &amp; DEVOPS</v>
          </cell>
        </row>
        <row r="473">
          <cell r="B473">
            <v>2400031174</v>
          </cell>
          <cell r="C473" t="str">
            <v>PASUPULETI  VANEESH</v>
          </cell>
          <cell r="D473" t="str">
            <v>24CS2239F</v>
          </cell>
          <cell r="E473" t="str">
            <v>L</v>
          </cell>
          <cell r="F473" t="str">
            <v>SOFTWARE VERIFICATION AND VALIDATION</v>
          </cell>
        </row>
        <row r="474">
          <cell r="B474">
            <v>2400031173</v>
          </cell>
          <cell r="C474" t="str">
            <v>TEKKULURI  TEVEESH SAI</v>
          </cell>
          <cell r="D474" t="str">
            <v>24CS2255F</v>
          </cell>
          <cell r="E474" t="str">
            <v>L</v>
          </cell>
          <cell r="F474" t="str">
            <v>ADVANCED DATA STRUCTURES</v>
          </cell>
        </row>
        <row r="475">
          <cell r="B475">
            <v>2400031171</v>
          </cell>
          <cell r="C475" t="str">
            <v>BHUPATHIRAJU  ABHINAY VARMA</v>
          </cell>
          <cell r="D475" t="str">
            <v>24CS2260F</v>
          </cell>
          <cell r="E475" t="str">
            <v>L</v>
          </cell>
          <cell r="F475" t="str">
            <v>FOUNDATIONS OF CLOUD-NATIVE COMPUTING &amp; DEVOPS</v>
          </cell>
        </row>
        <row r="476">
          <cell r="B476">
            <v>2400031167</v>
          </cell>
          <cell r="C476" t="str">
            <v>KONDA   VENKATA SIDHARDHA</v>
          </cell>
          <cell r="D476" t="str">
            <v>24CS2256F</v>
          </cell>
          <cell r="E476" t="str">
            <v>L</v>
          </cell>
          <cell r="F476" t="str">
            <v>FOUNDATIONS OF BLOCK CHAIN ENGINEERING</v>
          </cell>
        </row>
        <row r="477">
          <cell r="B477">
            <v>2400031156</v>
          </cell>
          <cell r="C477" t="str">
            <v>YAMANA  HEMANTH  NAGA  SURYA DURGA</v>
          </cell>
          <cell r="D477" t="str">
            <v>24CS2256F</v>
          </cell>
          <cell r="E477" t="str">
            <v>L</v>
          </cell>
          <cell r="F477" t="str">
            <v>FOUNDATIONS OF BLOCK CHAIN ENGINEERING</v>
          </cell>
        </row>
        <row r="478">
          <cell r="B478">
            <v>2400031155</v>
          </cell>
          <cell r="C478" t="str">
            <v>DOWLURU  VENKATESH</v>
          </cell>
          <cell r="D478" t="str">
            <v>24CS2237F</v>
          </cell>
          <cell r="E478" t="str">
            <v>L</v>
          </cell>
          <cell r="F478" t="str">
            <v>QUANTUM COMPUTING</v>
          </cell>
        </row>
        <row r="479">
          <cell r="B479">
            <v>2400031149</v>
          </cell>
          <cell r="C479" t="str">
            <v>RENANGI  HARSHA</v>
          </cell>
          <cell r="D479" t="str">
            <v>24CS2227F</v>
          </cell>
          <cell r="E479" t="str">
            <v>L</v>
          </cell>
          <cell r="F479" t="str">
            <v>DATA ANALYTICS AND VISUALIZATION</v>
          </cell>
        </row>
        <row r="480">
          <cell r="B480">
            <v>2400031144</v>
          </cell>
          <cell r="C480" t="str">
            <v>NEELA  PAVAN</v>
          </cell>
          <cell r="D480" t="str">
            <v>24CS2224F</v>
          </cell>
          <cell r="E480" t="str">
            <v>L</v>
          </cell>
          <cell r="F480" t="str">
            <v>CRYPT ANALYSIS AND CYBER DEFENCE</v>
          </cell>
        </row>
        <row r="481">
          <cell r="B481">
            <v>2400031141</v>
          </cell>
          <cell r="C481" t="str">
            <v>KURACHA  NAGA SATYA SAI SANDEEP</v>
          </cell>
          <cell r="D481" t="str">
            <v>24CS2237F</v>
          </cell>
          <cell r="E481" t="str">
            <v>L</v>
          </cell>
          <cell r="F481" t="str">
            <v>QUANTUM COMPUTING</v>
          </cell>
        </row>
        <row r="482">
          <cell r="B482">
            <v>2400031140</v>
          </cell>
          <cell r="C482" t="str">
            <v>KUNDA  SURYA TEJA</v>
          </cell>
          <cell r="D482" t="str">
            <v>24CS2256F</v>
          </cell>
          <cell r="E482" t="str">
            <v>L</v>
          </cell>
          <cell r="F482" t="str">
            <v>FOUNDATIONS OF BLOCK CHAIN ENGINEERING</v>
          </cell>
        </row>
        <row r="483">
          <cell r="B483">
            <v>2400031135</v>
          </cell>
          <cell r="C483" t="str">
            <v>KATRU  SASIDHAR</v>
          </cell>
          <cell r="D483" t="str">
            <v>24CS2255F</v>
          </cell>
          <cell r="E483" t="str">
            <v>L</v>
          </cell>
          <cell r="F483" t="str">
            <v>ADVANCED DATA STRUCTURES</v>
          </cell>
        </row>
        <row r="484">
          <cell r="B484">
            <v>2400031127</v>
          </cell>
          <cell r="C484" t="str">
            <v>MEDAGAM  VIGNESWAR REDDY</v>
          </cell>
          <cell r="D484" t="str">
            <v>24CS2256F</v>
          </cell>
          <cell r="E484" t="str">
            <v>L</v>
          </cell>
          <cell r="F484" t="str">
            <v>FOUNDATIONS OF BLOCK CHAIN ENGINEERING</v>
          </cell>
        </row>
        <row r="485">
          <cell r="B485">
            <v>2400031125</v>
          </cell>
          <cell r="C485" t="str">
            <v>SHAIK  DARGA MOHAMMAD SAIFULLA</v>
          </cell>
          <cell r="D485" t="str">
            <v>24CS2256F</v>
          </cell>
          <cell r="E485" t="str">
            <v>L</v>
          </cell>
          <cell r="F485" t="str">
            <v>FOUNDATIONS OF BLOCK CHAIN ENGINEERING</v>
          </cell>
        </row>
        <row r="486">
          <cell r="B486">
            <v>2400031123</v>
          </cell>
          <cell r="C486" t="str">
            <v>ROHIT   MONDAL</v>
          </cell>
          <cell r="D486" t="str">
            <v>24CS2258F</v>
          </cell>
          <cell r="E486" t="str">
            <v>L</v>
          </cell>
          <cell r="F486" t="str">
            <v>NATURAL LANGUAGE PROCESSING</v>
          </cell>
        </row>
        <row r="487">
          <cell r="B487">
            <v>2400031120</v>
          </cell>
          <cell r="C487" t="str">
            <v>NAVEENMANIKANTA  GANTA</v>
          </cell>
          <cell r="D487" t="str">
            <v>24CS2256F</v>
          </cell>
          <cell r="E487" t="str">
            <v>L</v>
          </cell>
          <cell r="F487" t="str">
            <v>FOUNDATIONS OF BLOCK CHAIN ENGINEERING</v>
          </cell>
        </row>
        <row r="488">
          <cell r="B488">
            <v>2400031115</v>
          </cell>
          <cell r="C488" t="str">
            <v>AKURATHI  SIVA RAMA NAGESWARA RAO</v>
          </cell>
          <cell r="D488" t="str">
            <v>24CS2255F</v>
          </cell>
          <cell r="E488" t="str">
            <v>L</v>
          </cell>
          <cell r="F488" t="str">
            <v>ADVANCED DATA STRUCTURES</v>
          </cell>
        </row>
        <row r="489">
          <cell r="B489">
            <v>2400031109</v>
          </cell>
          <cell r="C489" t="str">
            <v>YARAMALA  SRIROOP GAHAN</v>
          </cell>
          <cell r="D489" t="str">
            <v>24CS2239F</v>
          </cell>
          <cell r="E489" t="str">
            <v>L</v>
          </cell>
          <cell r="F489" t="str">
            <v>SOFTWARE VERIFICATION AND VALIDATION</v>
          </cell>
        </row>
        <row r="490">
          <cell r="B490">
            <v>2400031106</v>
          </cell>
          <cell r="C490" t="str">
            <v>TATAJI RAO   GUNDRA</v>
          </cell>
          <cell r="D490" t="str">
            <v>24CS2260F</v>
          </cell>
          <cell r="E490" t="str">
            <v>L</v>
          </cell>
          <cell r="F490" t="str">
            <v>FOUNDATIONS OF CLOUD-NATIVE COMPUTING &amp; DEVOPS</v>
          </cell>
        </row>
        <row r="491">
          <cell r="B491">
            <v>2400031102</v>
          </cell>
          <cell r="C491" t="str">
            <v>TANNIRU  DEEPIKA</v>
          </cell>
          <cell r="D491" t="str">
            <v>24CS2256F</v>
          </cell>
          <cell r="E491" t="str">
            <v>L</v>
          </cell>
          <cell r="F491" t="str">
            <v>FOUNDATIONS OF BLOCK CHAIN ENGINEERING</v>
          </cell>
        </row>
        <row r="492">
          <cell r="B492">
            <v>2400031087</v>
          </cell>
          <cell r="C492" t="str">
            <v>KATAKAM   YOSHITHA</v>
          </cell>
          <cell r="D492" t="str">
            <v>24CS2224F</v>
          </cell>
          <cell r="E492" t="str">
            <v>L</v>
          </cell>
          <cell r="F492" t="str">
            <v>CRYPT ANALYSIS AND CYBER DEFENCE</v>
          </cell>
        </row>
        <row r="493">
          <cell r="B493">
            <v>2400031080</v>
          </cell>
          <cell r="C493" t="str">
            <v>SABBITHI  RAJITH MOHAN KUMAR</v>
          </cell>
          <cell r="D493" t="str">
            <v>24CS2224F</v>
          </cell>
          <cell r="E493" t="str">
            <v>L</v>
          </cell>
          <cell r="F493" t="str">
            <v>CRYPT ANALYSIS AND CYBER DEFENCE</v>
          </cell>
        </row>
        <row r="494">
          <cell r="B494">
            <v>2400031073</v>
          </cell>
          <cell r="C494" t="str">
            <v>CHUKKAPALLI  SANDEEP</v>
          </cell>
          <cell r="D494" t="str">
            <v>24CS2258F</v>
          </cell>
          <cell r="E494" t="str">
            <v>L</v>
          </cell>
          <cell r="F494" t="str">
            <v>NATURAL LANGUAGE PROCESSING</v>
          </cell>
        </row>
        <row r="495">
          <cell r="B495">
            <v>2400031058</v>
          </cell>
          <cell r="C495" t="str">
            <v>RAMISETTI PUNITH VENKATA NAGA SAI</v>
          </cell>
          <cell r="D495" t="str">
            <v>24EE2230F</v>
          </cell>
          <cell r="E495" t="str">
            <v>L</v>
          </cell>
          <cell r="F495" t="str">
            <v>ESSENTIALS OF AUTONOMOUS SYSTEMS</v>
          </cell>
        </row>
        <row r="496">
          <cell r="B496">
            <v>2400031056</v>
          </cell>
          <cell r="C496" t="str">
            <v>BAIRI  TEJA SAI</v>
          </cell>
          <cell r="D496" t="str">
            <v>24CS2255F</v>
          </cell>
          <cell r="E496" t="str">
            <v>L</v>
          </cell>
          <cell r="F496" t="str">
            <v>ADVANCED DATA STRUCTURES</v>
          </cell>
        </row>
        <row r="497">
          <cell r="B497">
            <v>2400031051</v>
          </cell>
          <cell r="C497" t="str">
            <v>KANUMURI KARTHIKEYA SURYA VARMA</v>
          </cell>
          <cell r="D497" t="str">
            <v>24CS2255F</v>
          </cell>
          <cell r="E497" t="str">
            <v>L</v>
          </cell>
          <cell r="F497" t="str">
            <v>ADVANCED DATA STRUCTURES</v>
          </cell>
        </row>
        <row r="498">
          <cell r="B498">
            <v>2400031050</v>
          </cell>
          <cell r="C498" t="str">
            <v>JAYESH  JAIN</v>
          </cell>
          <cell r="D498" t="str">
            <v>24CS2239F</v>
          </cell>
          <cell r="E498" t="str">
            <v>L</v>
          </cell>
          <cell r="F498" t="str">
            <v>SOFTWARE VERIFICATION AND VALIDATION</v>
          </cell>
        </row>
        <row r="499">
          <cell r="B499">
            <v>2400031049</v>
          </cell>
          <cell r="C499" t="str">
            <v>SEELAM PUSHKAR JITHIN</v>
          </cell>
          <cell r="D499" t="str">
            <v>24CS2255F</v>
          </cell>
          <cell r="E499" t="str">
            <v>L</v>
          </cell>
          <cell r="F499" t="str">
            <v>ADVANCED DATA STRUCTURES</v>
          </cell>
        </row>
        <row r="500">
          <cell r="B500">
            <v>2400031045</v>
          </cell>
          <cell r="C500" t="str">
            <v>SWARNA  RITIKA MODUGU</v>
          </cell>
          <cell r="D500" t="str">
            <v>24CS2255F</v>
          </cell>
          <cell r="E500" t="str">
            <v>L</v>
          </cell>
          <cell r="F500" t="str">
            <v>ADVANCED DATA STRUCTURES</v>
          </cell>
        </row>
        <row r="501">
          <cell r="B501">
            <v>2400031043</v>
          </cell>
          <cell r="C501" t="str">
            <v>SARIPALLI  CHARAN MADHAVAN</v>
          </cell>
          <cell r="D501" t="str">
            <v>24CS2239F</v>
          </cell>
          <cell r="E501" t="str">
            <v>L</v>
          </cell>
          <cell r="F501" t="str">
            <v>SOFTWARE VERIFICATION AND VALIDATION</v>
          </cell>
        </row>
        <row r="502">
          <cell r="B502">
            <v>2400031039</v>
          </cell>
          <cell r="C502" t="str">
            <v>RACHAPOTHU  BALU</v>
          </cell>
          <cell r="D502" t="str">
            <v>24CS2237F</v>
          </cell>
          <cell r="E502" t="str">
            <v>L</v>
          </cell>
          <cell r="F502" t="str">
            <v>QUANTUM COMPUTING</v>
          </cell>
        </row>
        <row r="503">
          <cell r="B503">
            <v>2400031037</v>
          </cell>
          <cell r="C503" t="str">
            <v>KARI  AYUSH</v>
          </cell>
          <cell r="D503" t="str">
            <v>24CS2260F</v>
          </cell>
          <cell r="E503" t="str">
            <v>L</v>
          </cell>
          <cell r="F503" t="str">
            <v>FOUNDATIONS OF CLOUD-NATIVE COMPUTING &amp; DEVOPS</v>
          </cell>
        </row>
        <row r="504">
          <cell r="B504">
            <v>2400031035</v>
          </cell>
          <cell r="C504" t="str">
            <v>BOORA  JYOTHISHMANTH JEEVAN</v>
          </cell>
          <cell r="D504" t="str">
            <v>24CS2227F</v>
          </cell>
          <cell r="E504" t="str">
            <v>L</v>
          </cell>
          <cell r="F504" t="str">
            <v>DATA ANALYTICS AND VISUALIZATION</v>
          </cell>
        </row>
        <row r="505">
          <cell r="B505">
            <v>2400031032</v>
          </cell>
          <cell r="C505" t="str">
            <v xml:space="preserve">CHEVURI   SOMANADH AKHIL </v>
          </cell>
          <cell r="D505" t="str">
            <v>24CS2221F</v>
          </cell>
          <cell r="E505" t="str">
            <v>L</v>
          </cell>
          <cell r="F505" t="str">
            <v>UX DESIGN</v>
          </cell>
        </row>
        <row r="506">
          <cell r="B506">
            <v>2400031027</v>
          </cell>
          <cell r="C506" t="str">
            <v>SAVVANA  RAHUL</v>
          </cell>
          <cell r="D506" t="str">
            <v>24CS2260F</v>
          </cell>
          <cell r="E506" t="str">
            <v>L</v>
          </cell>
          <cell r="F506" t="str">
            <v>FOUNDATIONS OF CLOUD-NATIVE COMPUTING &amp; DEVOPS</v>
          </cell>
        </row>
        <row r="507">
          <cell r="B507">
            <v>2400031025</v>
          </cell>
          <cell r="C507" t="str">
            <v>SHAIK  UMME SALMA</v>
          </cell>
          <cell r="D507" t="str">
            <v>24CS2239F</v>
          </cell>
          <cell r="E507" t="str">
            <v>L</v>
          </cell>
          <cell r="F507" t="str">
            <v>SOFTWARE VERIFICATION AND VALIDATION</v>
          </cell>
        </row>
        <row r="508">
          <cell r="B508">
            <v>2400031022</v>
          </cell>
          <cell r="C508" t="str">
            <v>CHENNURU     LOKESWAR</v>
          </cell>
          <cell r="D508" t="str">
            <v>24CS2221F</v>
          </cell>
          <cell r="E508" t="str">
            <v>L</v>
          </cell>
          <cell r="F508" t="str">
            <v>UX DESIGN</v>
          </cell>
        </row>
        <row r="509">
          <cell r="B509">
            <v>2400031020</v>
          </cell>
          <cell r="C509" t="str">
            <v>GOTTUMUKKALA  TEJA VARMA</v>
          </cell>
          <cell r="D509" t="str">
            <v>24CS2264F</v>
          </cell>
          <cell r="E509" t="str">
            <v>L</v>
          </cell>
          <cell r="F509" t="str">
            <v>GAME SYSTEMS DESIGN AND DEVELOPMENT</v>
          </cell>
        </row>
        <row r="510">
          <cell r="B510">
            <v>2400031016</v>
          </cell>
          <cell r="C510" t="str">
            <v>ADAPA  VIJAY SAI KUSHAL</v>
          </cell>
          <cell r="D510" t="str">
            <v>24CS2260F</v>
          </cell>
          <cell r="E510" t="str">
            <v>L</v>
          </cell>
          <cell r="F510" t="str">
            <v>FOUNDATIONS OF CLOUD-NATIVE COMPUTING &amp; DEVOPS</v>
          </cell>
        </row>
        <row r="511">
          <cell r="B511">
            <v>2400031014</v>
          </cell>
          <cell r="C511" t="str">
            <v>KOMMINENI OM NAGA SAI SRINIVAS</v>
          </cell>
          <cell r="D511" t="str">
            <v>24CS2264F</v>
          </cell>
          <cell r="E511" t="str">
            <v>L</v>
          </cell>
          <cell r="F511" t="str">
            <v>GAME SYSTEMS DESIGN AND DEVELOPMENT</v>
          </cell>
        </row>
        <row r="512">
          <cell r="B512">
            <v>2400031013</v>
          </cell>
          <cell r="C512" t="str">
            <v>PAGADALA  NIKHILA</v>
          </cell>
          <cell r="D512" t="str">
            <v>24CS2227F</v>
          </cell>
          <cell r="E512" t="str">
            <v>L</v>
          </cell>
          <cell r="F512" t="str">
            <v>DATA ANALYTICS AND VISUALIZATION</v>
          </cell>
        </row>
        <row r="513">
          <cell r="B513">
            <v>2400031008</v>
          </cell>
          <cell r="C513" t="str">
            <v>MADDUKURI  VIDYA NANDH</v>
          </cell>
          <cell r="D513" t="str">
            <v>24CS2258F</v>
          </cell>
          <cell r="E513" t="str">
            <v>L</v>
          </cell>
          <cell r="F513" t="str">
            <v>NATURAL LANGUAGE PROCESSING</v>
          </cell>
        </row>
        <row r="514">
          <cell r="B514">
            <v>2400031004</v>
          </cell>
          <cell r="C514" t="str">
            <v>JUJJAVARAPU  AKSHAYA</v>
          </cell>
          <cell r="D514" t="str">
            <v>24CS2227F</v>
          </cell>
          <cell r="E514" t="str">
            <v>L</v>
          </cell>
          <cell r="F514" t="str">
            <v>DATA ANALYTICS AND VISUALIZATION</v>
          </cell>
        </row>
        <row r="515">
          <cell r="B515">
            <v>2400031003</v>
          </cell>
          <cell r="C515" t="str">
            <v>JAKKAMPUDI  AVINASH CHOWDARY</v>
          </cell>
          <cell r="D515" t="str">
            <v>24CS2239F</v>
          </cell>
          <cell r="E515" t="str">
            <v>L</v>
          </cell>
          <cell r="F515" t="str">
            <v>SOFTWARE VERIFICATION AND VALIDATION</v>
          </cell>
        </row>
        <row r="516">
          <cell r="B516">
            <v>2400031000</v>
          </cell>
          <cell r="C516" t="str">
            <v>NAGANDLA SAHITHI  SRITHA</v>
          </cell>
          <cell r="D516" t="str">
            <v>24CS2258F</v>
          </cell>
          <cell r="E516" t="str">
            <v>L</v>
          </cell>
          <cell r="F516" t="str">
            <v>NATURAL LANGUAGE PROCESSING</v>
          </cell>
        </row>
        <row r="517">
          <cell r="B517">
            <v>2400030998</v>
          </cell>
          <cell r="C517" t="str">
            <v>BANDI VENKATA  KEERTHANA CHOWDARY</v>
          </cell>
          <cell r="D517" t="str">
            <v>24CS2227F</v>
          </cell>
          <cell r="E517" t="str">
            <v>L</v>
          </cell>
          <cell r="F517" t="str">
            <v>DATA ANALYTICS AND VISUALIZATION</v>
          </cell>
        </row>
        <row r="518">
          <cell r="B518">
            <v>2400030994</v>
          </cell>
          <cell r="C518" t="str">
            <v>HUKUMATHIRAO VENKATA  KARTHIK</v>
          </cell>
          <cell r="D518" t="str">
            <v>24CS2255F</v>
          </cell>
          <cell r="E518" t="str">
            <v>L</v>
          </cell>
          <cell r="F518" t="str">
            <v>ADVANCED DATA STRUCTURES</v>
          </cell>
        </row>
        <row r="519">
          <cell r="B519">
            <v>2400030989</v>
          </cell>
          <cell r="C519" t="str">
            <v>ARASAVILLI SAI KISHORE</v>
          </cell>
          <cell r="D519" t="str">
            <v>24CS2227F</v>
          </cell>
          <cell r="E519" t="str">
            <v>L</v>
          </cell>
          <cell r="F519" t="str">
            <v>DATA ANALYTICS AND VISUALIZATION</v>
          </cell>
        </row>
        <row r="520">
          <cell r="B520">
            <v>2400030986</v>
          </cell>
          <cell r="C520" t="str">
            <v>PETETI  ABHILASH</v>
          </cell>
          <cell r="D520" t="str">
            <v>24CS2255F</v>
          </cell>
          <cell r="E520" t="str">
            <v>L</v>
          </cell>
          <cell r="F520" t="str">
            <v>ADVANCED DATA STRUCTURES</v>
          </cell>
        </row>
        <row r="521">
          <cell r="B521">
            <v>2400030985</v>
          </cell>
          <cell r="C521" t="str">
            <v>VUPPALA   MAHIDHAR</v>
          </cell>
          <cell r="D521" t="str">
            <v>24CS2255F</v>
          </cell>
          <cell r="E521" t="str">
            <v>L</v>
          </cell>
          <cell r="F521" t="str">
            <v>ADVANCED DATA STRUCTURES</v>
          </cell>
        </row>
        <row r="522">
          <cell r="B522">
            <v>2400030981</v>
          </cell>
          <cell r="C522" t="str">
            <v>DARAM MANISHANKAR  REDDY</v>
          </cell>
          <cell r="D522" t="str">
            <v>24CS2237F</v>
          </cell>
          <cell r="E522" t="str">
            <v>L</v>
          </cell>
          <cell r="F522" t="str">
            <v>QUANTUM COMPUTING</v>
          </cell>
        </row>
        <row r="523">
          <cell r="B523">
            <v>2400030980</v>
          </cell>
          <cell r="C523" t="str">
            <v>BASIREDDY  SIVA SUBBA REDDY</v>
          </cell>
          <cell r="D523" t="str">
            <v>24CS2239F</v>
          </cell>
          <cell r="E523" t="str">
            <v>L</v>
          </cell>
          <cell r="F523" t="str">
            <v>SOFTWARE VERIFICATION AND VALIDATION</v>
          </cell>
        </row>
        <row r="524">
          <cell r="B524">
            <v>2400030976</v>
          </cell>
          <cell r="C524" t="str">
            <v>JUWARIYAH   AARA</v>
          </cell>
          <cell r="D524" t="str">
            <v>24CS2227F</v>
          </cell>
          <cell r="E524" t="str">
            <v>L</v>
          </cell>
          <cell r="F524" t="str">
            <v>DATA ANALYTICS AND VISUALIZATION</v>
          </cell>
        </row>
        <row r="525">
          <cell r="B525">
            <v>2400030968</v>
          </cell>
          <cell r="C525" t="str">
            <v>KOMARAGIRI POORVITHA  SAI</v>
          </cell>
          <cell r="D525" t="str">
            <v>24CS2255F</v>
          </cell>
          <cell r="E525" t="str">
            <v>L</v>
          </cell>
          <cell r="F525" t="str">
            <v>ADVANCED DATA STRUCTURES</v>
          </cell>
        </row>
        <row r="526">
          <cell r="B526">
            <v>2400030962</v>
          </cell>
          <cell r="C526" t="str">
            <v>TEEGURU GANESH  KUMAR REDDY</v>
          </cell>
          <cell r="D526" t="str">
            <v>24EE2230F</v>
          </cell>
          <cell r="E526" t="str">
            <v>L</v>
          </cell>
          <cell r="F526" t="str">
            <v>ESSENTIALS OF AUTONOMOUS SYSTEMS</v>
          </cell>
        </row>
        <row r="527">
          <cell r="B527">
            <v>2400030960</v>
          </cell>
          <cell r="C527" t="str">
            <v>SHANKAR  MAHADEV GUPTA MADDALI</v>
          </cell>
          <cell r="D527" t="str">
            <v>24CS2239F</v>
          </cell>
          <cell r="E527" t="str">
            <v>L</v>
          </cell>
          <cell r="F527" t="str">
            <v>SOFTWARE VERIFICATION AND VALIDATION</v>
          </cell>
        </row>
        <row r="528">
          <cell r="B528">
            <v>2400030959</v>
          </cell>
          <cell r="C528" t="str">
            <v>CHEBOLU GNANA CHANDRA</v>
          </cell>
          <cell r="D528" t="str">
            <v>24CS2264F</v>
          </cell>
          <cell r="E528" t="str">
            <v>L</v>
          </cell>
          <cell r="F528" t="str">
            <v>GAME SYSTEMS DESIGN AND DEVELOPMENT</v>
          </cell>
        </row>
        <row r="529">
          <cell r="B529">
            <v>2400030958</v>
          </cell>
          <cell r="C529" t="str">
            <v>VAJRALA  VISHNU VARDHAN REDDY</v>
          </cell>
          <cell r="D529" t="str">
            <v>24CS2258F</v>
          </cell>
          <cell r="E529" t="str">
            <v>L</v>
          </cell>
          <cell r="F529" t="str">
            <v>NATURAL LANGUAGE PROCESSING</v>
          </cell>
        </row>
        <row r="530">
          <cell r="B530">
            <v>2400030957</v>
          </cell>
          <cell r="C530" t="str">
            <v>KOTHAGUNDLA  KIRAN</v>
          </cell>
          <cell r="D530" t="str">
            <v>24CS2221F</v>
          </cell>
          <cell r="E530" t="str">
            <v>L</v>
          </cell>
          <cell r="F530" t="str">
            <v>UX DESIGN</v>
          </cell>
        </row>
        <row r="531">
          <cell r="B531">
            <v>2400030946</v>
          </cell>
          <cell r="C531" t="str">
            <v>MEKA  LUKESH MADHAV</v>
          </cell>
          <cell r="D531" t="str">
            <v>24CS2255F</v>
          </cell>
          <cell r="E531" t="str">
            <v>L</v>
          </cell>
          <cell r="F531" t="str">
            <v>ADVANCED DATA STRUCTURES</v>
          </cell>
        </row>
        <row r="532">
          <cell r="B532">
            <v>2400030942</v>
          </cell>
          <cell r="C532" t="str">
            <v>SANDA  SRINATH</v>
          </cell>
          <cell r="D532" t="str">
            <v>24CS2221F</v>
          </cell>
          <cell r="E532" t="str">
            <v>L</v>
          </cell>
          <cell r="F532" t="str">
            <v>UX DESIGN</v>
          </cell>
        </row>
        <row r="533">
          <cell r="B533">
            <v>2400030940</v>
          </cell>
          <cell r="C533" t="str">
            <v>CHINTHALACHERUVU TEJA SREE</v>
          </cell>
          <cell r="D533" t="str">
            <v>24CS2221F</v>
          </cell>
          <cell r="E533" t="str">
            <v>L</v>
          </cell>
          <cell r="F533" t="str">
            <v>UX DESIGN</v>
          </cell>
        </row>
        <row r="534">
          <cell r="B534">
            <v>2400030934</v>
          </cell>
          <cell r="C534" t="str">
            <v>AKSHIT  BAHADUR</v>
          </cell>
          <cell r="D534" t="str">
            <v>24CS2237F</v>
          </cell>
          <cell r="E534" t="str">
            <v>L</v>
          </cell>
          <cell r="F534" t="str">
            <v>QUANTUM COMPUTING</v>
          </cell>
        </row>
        <row r="535">
          <cell r="B535">
            <v>2400030931</v>
          </cell>
          <cell r="C535" t="str">
            <v>SUVADA  DILLESH</v>
          </cell>
          <cell r="D535" t="str">
            <v>24CS2224F</v>
          </cell>
          <cell r="E535" t="str">
            <v>L</v>
          </cell>
          <cell r="F535" t="str">
            <v>CRYPT ANALYSIS AND CYBER DEFENCE</v>
          </cell>
        </row>
        <row r="536">
          <cell r="B536">
            <v>2400030926</v>
          </cell>
          <cell r="C536" t="str">
            <v>SHAIK  ARIF</v>
          </cell>
          <cell r="D536" t="str">
            <v>24CS2227F</v>
          </cell>
          <cell r="E536" t="str">
            <v>L</v>
          </cell>
          <cell r="F536" t="str">
            <v>DATA ANALYTICS AND VISUALIZATION</v>
          </cell>
        </row>
        <row r="537">
          <cell r="B537">
            <v>2400030925</v>
          </cell>
          <cell r="C537" t="str">
            <v>CHITHALURI VEERA  HEMANTH</v>
          </cell>
          <cell r="D537" t="str">
            <v>24CS2224F</v>
          </cell>
          <cell r="E537" t="str">
            <v>L</v>
          </cell>
          <cell r="F537" t="str">
            <v>CRYPT ANALYSIS AND CYBER DEFENCE</v>
          </cell>
        </row>
        <row r="538">
          <cell r="B538">
            <v>2400030924</v>
          </cell>
          <cell r="C538" t="str">
            <v>KOMATI DURGA  SRI CHARAN CHOWDARY</v>
          </cell>
          <cell r="D538" t="str">
            <v>24CS2221F</v>
          </cell>
          <cell r="E538" t="str">
            <v>L</v>
          </cell>
          <cell r="F538" t="str">
            <v>UX DESIGN</v>
          </cell>
        </row>
        <row r="539">
          <cell r="B539">
            <v>2400030923</v>
          </cell>
          <cell r="C539" t="str">
            <v xml:space="preserve">NEKKALAPUDI JASWANTH  NAGA SRI SAI RAM </v>
          </cell>
          <cell r="D539" t="str">
            <v>24CS2237F</v>
          </cell>
          <cell r="E539" t="str">
            <v>L</v>
          </cell>
          <cell r="F539" t="str">
            <v>QUANTUM COMPUTING</v>
          </cell>
        </row>
        <row r="540">
          <cell r="B540">
            <v>2400030917</v>
          </cell>
          <cell r="C540" t="str">
            <v>BAMMIDI SAI  THANUSH</v>
          </cell>
          <cell r="D540" t="str">
            <v>24CS2227F</v>
          </cell>
          <cell r="E540" t="str">
            <v>L</v>
          </cell>
          <cell r="F540" t="str">
            <v>DATA ANALYTICS AND VISUALIZATION</v>
          </cell>
        </row>
        <row r="541">
          <cell r="B541">
            <v>2400030916</v>
          </cell>
          <cell r="C541" t="str">
            <v>PONUGOTI NIKHITHA  REDDY</v>
          </cell>
          <cell r="D541" t="str">
            <v>24CS2255F</v>
          </cell>
          <cell r="E541" t="str">
            <v>L</v>
          </cell>
          <cell r="F541" t="str">
            <v>ADVANCED DATA STRUCTURES</v>
          </cell>
        </row>
        <row r="542">
          <cell r="B542">
            <v>2400030913</v>
          </cell>
          <cell r="C542" t="str">
            <v>LANKA  VEERA  VENKATA RAO</v>
          </cell>
          <cell r="D542" t="str">
            <v>24EE2230F</v>
          </cell>
          <cell r="E542" t="str">
            <v>L</v>
          </cell>
          <cell r="F542" t="str">
            <v>ESSENTIALS OF AUTONOMOUS SYSTEMS</v>
          </cell>
        </row>
        <row r="543">
          <cell r="B543">
            <v>2400030912</v>
          </cell>
          <cell r="C543" t="str">
            <v>AKURI VENKATA  SURYA VARUN</v>
          </cell>
          <cell r="D543" t="str">
            <v>24CS2264F</v>
          </cell>
          <cell r="E543" t="str">
            <v>L</v>
          </cell>
          <cell r="F543" t="str">
            <v>GAME SYSTEMS DESIGN AND DEVELOPMENT</v>
          </cell>
        </row>
        <row r="544">
          <cell r="B544">
            <v>2400030909</v>
          </cell>
          <cell r="C544" t="str">
            <v>UDAY  MANDAVA</v>
          </cell>
          <cell r="D544" t="str">
            <v>24CS2256F</v>
          </cell>
          <cell r="E544" t="str">
            <v>L</v>
          </cell>
          <cell r="F544" t="str">
            <v>FOUNDATIONS OF BLOCK CHAIN ENGINEERING</v>
          </cell>
        </row>
        <row r="545">
          <cell r="B545">
            <v>2400030906</v>
          </cell>
          <cell r="C545" t="str">
            <v>BOGGARAPU  RAVITEJA</v>
          </cell>
          <cell r="D545" t="str">
            <v>24CS2224F</v>
          </cell>
          <cell r="E545" t="str">
            <v>L</v>
          </cell>
          <cell r="F545" t="str">
            <v>CRYPT ANALYSIS AND CYBER DEFENCE</v>
          </cell>
        </row>
        <row r="546">
          <cell r="B546">
            <v>2400030901</v>
          </cell>
          <cell r="C546" t="str">
            <v>GAJULA  CHARITHA</v>
          </cell>
          <cell r="D546" t="str">
            <v>24CS2255F</v>
          </cell>
          <cell r="E546" t="str">
            <v>L</v>
          </cell>
          <cell r="F546" t="str">
            <v>ADVANCED DATA STRUCTURES</v>
          </cell>
        </row>
        <row r="547">
          <cell r="B547">
            <v>2400030891</v>
          </cell>
          <cell r="C547" t="str">
            <v>PETLA   HARSHINI</v>
          </cell>
          <cell r="D547" t="str">
            <v>24CS2256F</v>
          </cell>
          <cell r="E547" t="str">
            <v>L</v>
          </cell>
          <cell r="F547" t="str">
            <v>FOUNDATIONS OF BLOCK CHAIN ENGINEERING</v>
          </cell>
        </row>
        <row r="548">
          <cell r="B548">
            <v>2400030888</v>
          </cell>
          <cell r="C548" t="str">
            <v>THATINATI SASI  BHASKAR KUMAR</v>
          </cell>
          <cell r="D548" t="str">
            <v>24CS2237F</v>
          </cell>
          <cell r="E548" t="str">
            <v>L</v>
          </cell>
          <cell r="F548" t="str">
            <v>QUANTUM COMPUTING</v>
          </cell>
        </row>
        <row r="549">
          <cell r="B549">
            <v>2400030880</v>
          </cell>
          <cell r="C549" t="str">
            <v>MALLIREDDY  DINESH REDDY</v>
          </cell>
          <cell r="D549" t="str">
            <v>24CS2239F</v>
          </cell>
          <cell r="E549" t="str">
            <v>L</v>
          </cell>
          <cell r="F549" t="str">
            <v>SOFTWARE VERIFICATION AND VALIDATION</v>
          </cell>
        </row>
        <row r="550">
          <cell r="B550">
            <v>2400030878</v>
          </cell>
          <cell r="C550" t="str">
            <v>AMARA  YASHWANTH</v>
          </cell>
          <cell r="D550" t="str">
            <v>24CS2258F</v>
          </cell>
          <cell r="E550" t="str">
            <v>L</v>
          </cell>
          <cell r="F550" t="str">
            <v>NATURAL LANGUAGE PROCESSING</v>
          </cell>
        </row>
        <row r="551">
          <cell r="B551">
            <v>2400030877</v>
          </cell>
          <cell r="C551" t="str">
            <v>MADAMANCHI DHANVANTH  SAI</v>
          </cell>
          <cell r="D551" t="str">
            <v>24CS2255F</v>
          </cell>
          <cell r="E551" t="str">
            <v>L</v>
          </cell>
          <cell r="F551" t="str">
            <v>ADVANCED DATA STRUCTURES</v>
          </cell>
        </row>
        <row r="552">
          <cell r="B552">
            <v>2400030875</v>
          </cell>
          <cell r="C552" t="str">
            <v>PENUMUCHU   DEVENDRANADH</v>
          </cell>
          <cell r="D552" t="str">
            <v>24CS2221F</v>
          </cell>
          <cell r="E552" t="str">
            <v>L</v>
          </cell>
          <cell r="F552" t="str">
            <v>UX DESIGN</v>
          </cell>
        </row>
        <row r="553">
          <cell r="B553">
            <v>2400030869</v>
          </cell>
          <cell r="C553" t="str">
            <v>KASIMALA   KARTHIK</v>
          </cell>
          <cell r="D553" t="str">
            <v>24CS2224F</v>
          </cell>
          <cell r="E553" t="str">
            <v>L</v>
          </cell>
          <cell r="F553" t="str">
            <v>CRYPT ANALYSIS AND CYBER DEFENCE</v>
          </cell>
        </row>
        <row r="554">
          <cell r="B554">
            <v>2400030866</v>
          </cell>
          <cell r="C554" t="str">
            <v>GAJJELA  HARI  MANIKANTA REDDY</v>
          </cell>
          <cell r="D554" t="str">
            <v>24CS2227F</v>
          </cell>
          <cell r="E554" t="str">
            <v>L</v>
          </cell>
          <cell r="F554" t="str">
            <v>DATA ANALYTICS AND VISUALIZATION</v>
          </cell>
        </row>
        <row r="555">
          <cell r="B555">
            <v>2400030863</v>
          </cell>
          <cell r="C555" t="str">
            <v>NALLIBOINA LOKESH  VENKATA SAI</v>
          </cell>
          <cell r="D555" t="str">
            <v>24CS2255F</v>
          </cell>
          <cell r="E555" t="str">
            <v>L</v>
          </cell>
          <cell r="F555" t="str">
            <v>ADVANCED DATA STRUCTURES</v>
          </cell>
        </row>
        <row r="556">
          <cell r="B556">
            <v>2400030860</v>
          </cell>
          <cell r="C556" t="str">
            <v>SUNKARA DURGA  SALIKA</v>
          </cell>
          <cell r="D556" t="str">
            <v>24CS2239F</v>
          </cell>
          <cell r="E556" t="str">
            <v>L</v>
          </cell>
          <cell r="F556" t="str">
            <v>SOFTWARE VERIFICATION AND VALIDATION</v>
          </cell>
        </row>
        <row r="557">
          <cell r="B557">
            <v>2400030859</v>
          </cell>
          <cell r="C557" t="str">
            <v>DULLA  AAKASH</v>
          </cell>
          <cell r="D557" t="str">
            <v>24CS2221F</v>
          </cell>
          <cell r="E557" t="str">
            <v>L</v>
          </cell>
          <cell r="F557" t="str">
            <v>UX DESIGN</v>
          </cell>
        </row>
        <row r="558">
          <cell r="B558">
            <v>2400030855</v>
          </cell>
          <cell r="C558" t="str">
            <v>THOTA  JAIDEEP</v>
          </cell>
          <cell r="D558" t="str">
            <v>24CS2224F</v>
          </cell>
          <cell r="E558" t="str">
            <v>L</v>
          </cell>
          <cell r="F558" t="str">
            <v>CRYPT ANALYSIS AND CYBER DEFENCE</v>
          </cell>
        </row>
        <row r="559">
          <cell r="B559">
            <v>2400030853</v>
          </cell>
          <cell r="C559" t="str">
            <v>PULIBANDLA  ABHINAV</v>
          </cell>
          <cell r="D559" t="str">
            <v>24CS2255F</v>
          </cell>
          <cell r="E559" t="str">
            <v>L</v>
          </cell>
          <cell r="F559" t="str">
            <v>ADVANCED DATA STRUCTURES</v>
          </cell>
        </row>
        <row r="560">
          <cell r="B560">
            <v>2400030846</v>
          </cell>
          <cell r="C560" t="str">
            <v>DEVABHAKTUNI  SUJITH</v>
          </cell>
          <cell r="D560" t="str">
            <v>24CS2256F</v>
          </cell>
          <cell r="E560" t="str">
            <v>L</v>
          </cell>
          <cell r="F560" t="str">
            <v>FOUNDATIONS OF BLOCK CHAIN ENGINEERING</v>
          </cell>
        </row>
        <row r="561">
          <cell r="B561">
            <v>2400030844</v>
          </cell>
          <cell r="C561" t="str">
            <v>SHAIK MOHAMMAD  HANEEF</v>
          </cell>
          <cell r="D561" t="str">
            <v>24CS2224F</v>
          </cell>
          <cell r="E561" t="str">
            <v>L</v>
          </cell>
          <cell r="F561" t="str">
            <v>CRYPT ANALYSIS AND CYBER DEFENCE</v>
          </cell>
        </row>
        <row r="562">
          <cell r="B562">
            <v>2400030843</v>
          </cell>
          <cell r="C562" t="str">
            <v>SHAIK MOHAMMAD KHASIM SUHAIL</v>
          </cell>
          <cell r="D562" t="str">
            <v>24CS2224F</v>
          </cell>
          <cell r="E562" t="str">
            <v>L</v>
          </cell>
          <cell r="F562" t="str">
            <v>CRYPT ANALYSIS AND CYBER DEFENCE</v>
          </cell>
        </row>
        <row r="563">
          <cell r="B563">
            <v>2400030841</v>
          </cell>
          <cell r="C563" t="str">
            <v>DURGEMPUDI CHARITA SRI AMRUTHA</v>
          </cell>
          <cell r="D563" t="str">
            <v>24CS2224F</v>
          </cell>
          <cell r="E563" t="str">
            <v>L</v>
          </cell>
          <cell r="F563" t="str">
            <v>CRYPT ANALYSIS AND CYBER DEFENCE</v>
          </cell>
        </row>
        <row r="564">
          <cell r="B564">
            <v>2400030840</v>
          </cell>
          <cell r="C564" t="str">
            <v>METLA  RISHITHA</v>
          </cell>
          <cell r="D564" t="str">
            <v>24CS2239F</v>
          </cell>
          <cell r="E564" t="str">
            <v>L</v>
          </cell>
          <cell r="F564" t="str">
            <v>SOFTWARE VERIFICATION AND VALIDATION</v>
          </cell>
        </row>
        <row r="565">
          <cell r="B565">
            <v>2400030838</v>
          </cell>
          <cell r="C565" t="str">
            <v>KUKKALA YOGENDHAR  REDDY</v>
          </cell>
          <cell r="D565" t="str">
            <v>24CS2239F</v>
          </cell>
          <cell r="E565" t="str">
            <v>L</v>
          </cell>
          <cell r="F565" t="str">
            <v>SOFTWARE VERIFICATION AND VALIDATION</v>
          </cell>
        </row>
        <row r="566">
          <cell r="B566">
            <v>2400030819</v>
          </cell>
          <cell r="C566" t="str">
            <v>MOVVA GOPIKA  SINDHU</v>
          </cell>
          <cell r="D566" t="str">
            <v>24CS2255F</v>
          </cell>
          <cell r="E566" t="str">
            <v>L</v>
          </cell>
          <cell r="F566" t="str">
            <v>ADVANCED DATA STRUCTURES</v>
          </cell>
        </row>
        <row r="567">
          <cell r="B567">
            <v>2400030818</v>
          </cell>
          <cell r="C567" t="str">
            <v>PENDELA SAI  NIKHIL</v>
          </cell>
          <cell r="D567" t="str">
            <v>24CS2237F</v>
          </cell>
          <cell r="E567" t="str">
            <v>L</v>
          </cell>
          <cell r="F567" t="str">
            <v>QUANTUM COMPUTING</v>
          </cell>
        </row>
        <row r="568">
          <cell r="B568">
            <v>2400030813</v>
          </cell>
          <cell r="C568" t="str">
            <v>AVUTHU DURGA  BHAVANI</v>
          </cell>
          <cell r="D568" t="str">
            <v>24CS2255F</v>
          </cell>
          <cell r="E568" t="str">
            <v>L</v>
          </cell>
          <cell r="F568" t="str">
            <v>ADVANCED DATA STRUCTURES</v>
          </cell>
        </row>
        <row r="569">
          <cell r="B569">
            <v>2400030812</v>
          </cell>
          <cell r="C569" t="str">
            <v>OBULAPURAM VENNELA  NAIDU</v>
          </cell>
          <cell r="D569" t="str">
            <v>24CS2255F</v>
          </cell>
          <cell r="E569" t="str">
            <v>L</v>
          </cell>
          <cell r="F569" t="str">
            <v>ADVANCED DATA STRUCTURES</v>
          </cell>
        </row>
        <row r="570">
          <cell r="B570">
            <v>2400030803</v>
          </cell>
          <cell r="C570" t="str">
            <v>ANNAMANENI  MANI  KANTA</v>
          </cell>
          <cell r="D570" t="str">
            <v>24CS2239F</v>
          </cell>
          <cell r="E570" t="str">
            <v>L</v>
          </cell>
          <cell r="F570" t="str">
            <v>SOFTWARE VERIFICATION AND VALIDATION</v>
          </cell>
        </row>
        <row r="571">
          <cell r="B571">
            <v>2400030801</v>
          </cell>
          <cell r="C571" t="str">
            <v>LAKAMSANI  HRISHI</v>
          </cell>
          <cell r="D571" t="str">
            <v>24CS2224F</v>
          </cell>
          <cell r="E571" t="str">
            <v>L</v>
          </cell>
          <cell r="F571" t="str">
            <v>CRYPT ANALYSIS AND CYBER DEFENCE</v>
          </cell>
        </row>
        <row r="572">
          <cell r="B572">
            <v>2400030797</v>
          </cell>
          <cell r="C572" t="str">
            <v>KARANAM  TARUN</v>
          </cell>
          <cell r="D572" t="str">
            <v>24CS2221F</v>
          </cell>
          <cell r="E572" t="str">
            <v>L</v>
          </cell>
          <cell r="F572" t="str">
            <v>UX DESIGN</v>
          </cell>
        </row>
        <row r="573">
          <cell r="B573">
            <v>2400030785</v>
          </cell>
          <cell r="C573" t="str">
            <v>PUNATI  YASASRI</v>
          </cell>
          <cell r="D573" t="str">
            <v>24CS2255F</v>
          </cell>
          <cell r="E573" t="str">
            <v>L</v>
          </cell>
          <cell r="F573" t="str">
            <v>ADVANCED DATA STRUCTURES</v>
          </cell>
        </row>
        <row r="574">
          <cell r="B574">
            <v>2400030777</v>
          </cell>
          <cell r="C574" t="str">
            <v>ELAPROLU GANESH  SAI</v>
          </cell>
          <cell r="D574" t="str">
            <v>24CS2224F</v>
          </cell>
          <cell r="E574" t="str">
            <v>L</v>
          </cell>
          <cell r="F574" t="str">
            <v>CRYPT ANALYSIS AND CYBER DEFENCE</v>
          </cell>
        </row>
        <row r="575">
          <cell r="B575">
            <v>2400030776</v>
          </cell>
          <cell r="C575" t="str">
            <v>CHERUKURI  KUSMITHA</v>
          </cell>
          <cell r="D575" t="str">
            <v>24CS2224F</v>
          </cell>
          <cell r="E575" t="str">
            <v>L</v>
          </cell>
          <cell r="F575" t="str">
            <v>CRYPT ANALYSIS AND CYBER DEFENCE</v>
          </cell>
        </row>
        <row r="576">
          <cell r="B576">
            <v>2400030772</v>
          </cell>
          <cell r="C576" t="str">
            <v>KAMDULA  SRUTHI</v>
          </cell>
          <cell r="D576" t="str">
            <v>24CS2224F</v>
          </cell>
          <cell r="E576" t="str">
            <v>L</v>
          </cell>
          <cell r="F576" t="str">
            <v>CRYPT ANALYSIS AND CYBER DEFENCE</v>
          </cell>
        </row>
        <row r="577">
          <cell r="B577">
            <v>2400030771</v>
          </cell>
          <cell r="C577" t="str">
            <v>SANGA SAI VINODINI</v>
          </cell>
          <cell r="D577" t="str">
            <v>24CS2239F</v>
          </cell>
          <cell r="E577" t="str">
            <v>L</v>
          </cell>
          <cell r="F577" t="str">
            <v>SOFTWARE VERIFICATION AND VALIDATION</v>
          </cell>
        </row>
        <row r="578">
          <cell r="B578">
            <v>2400030765</v>
          </cell>
          <cell r="C578" t="str">
            <v>ADITYASAI  DONGARE</v>
          </cell>
          <cell r="D578" t="str">
            <v>24CS2258F</v>
          </cell>
          <cell r="E578" t="str">
            <v>L</v>
          </cell>
          <cell r="F578" t="str">
            <v>NATURAL LANGUAGE PROCESSING</v>
          </cell>
        </row>
        <row r="579">
          <cell r="B579">
            <v>2400030762</v>
          </cell>
          <cell r="C579" t="str">
            <v>PARASA BALA NAGA GANESH</v>
          </cell>
          <cell r="D579" t="str">
            <v>24CS2237F</v>
          </cell>
          <cell r="E579" t="str">
            <v>L</v>
          </cell>
          <cell r="F579" t="str">
            <v>QUANTUM COMPUTING</v>
          </cell>
        </row>
        <row r="580">
          <cell r="B580">
            <v>2400030755</v>
          </cell>
          <cell r="C580" t="str">
            <v>M   TANUSH KUMAR</v>
          </cell>
          <cell r="D580" t="str">
            <v>24CS2256F</v>
          </cell>
          <cell r="E580" t="str">
            <v>L</v>
          </cell>
          <cell r="F580" t="str">
            <v>FOUNDATIONS OF BLOCK CHAIN ENGINEERING</v>
          </cell>
        </row>
        <row r="581">
          <cell r="B581">
            <v>2400030745</v>
          </cell>
          <cell r="C581" t="str">
            <v>VAIBHAV  MODANWAL</v>
          </cell>
          <cell r="D581" t="str">
            <v>24CS2237F</v>
          </cell>
          <cell r="E581" t="str">
            <v>L</v>
          </cell>
          <cell r="F581" t="str">
            <v>QUANTUM COMPUTING</v>
          </cell>
        </row>
        <row r="582">
          <cell r="B582">
            <v>2400030744</v>
          </cell>
          <cell r="C582" t="str">
            <v>GUMMIDI  V V KARTHIK SAI JATHIN</v>
          </cell>
          <cell r="D582" t="str">
            <v>24CS2255F</v>
          </cell>
          <cell r="E582" t="str">
            <v>L</v>
          </cell>
          <cell r="F582" t="str">
            <v>ADVANCED DATA STRUCTURES</v>
          </cell>
        </row>
        <row r="583">
          <cell r="B583">
            <v>2400030743</v>
          </cell>
          <cell r="C583" t="str">
            <v>BONEPALLI MURALI  HANSIKA</v>
          </cell>
          <cell r="D583" t="str">
            <v>24CS2255F</v>
          </cell>
          <cell r="E583" t="str">
            <v>L</v>
          </cell>
          <cell r="F583" t="str">
            <v>ADVANCED DATA STRUCTURES</v>
          </cell>
        </row>
        <row r="584">
          <cell r="B584">
            <v>2400030742</v>
          </cell>
          <cell r="C584" t="str">
            <v>RAJA  VINAY  SAI</v>
          </cell>
          <cell r="D584" t="str">
            <v>24CS2255F</v>
          </cell>
          <cell r="E584" t="str">
            <v>L</v>
          </cell>
          <cell r="F584" t="str">
            <v>ADVANCED DATA STRUCTURES</v>
          </cell>
        </row>
        <row r="585">
          <cell r="B585">
            <v>2400030731</v>
          </cell>
          <cell r="C585" t="str">
            <v>SRIKANTAM PRUDHVI SRI HARSHA</v>
          </cell>
          <cell r="D585" t="str">
            <v>24CS2224F</v>
          </cell>
          <cell r="E585" t="str">
            <v>L</v>
          </cell>
          <cell r="F585" t="str">
            <v>CRYPT ANALYSIS AND CYBER DEFENCE</v>
          </cell>
        </row>
        <row r="586">
          <cell r="B586">
            <v>2400030730</v>
          </cell>
          <cell r="C586" t="str">
            <v>GARIKIPATI DURGA SAI AVINASH</v>
          </cell>
          <cell r="D586" t="str">
            <v>24CS2256F</v>
          </cell>
          <cell r="E586" t="str">
            <v>L</v>
          </cell>
          <cell r="F586" t="str">
            <v>FOUNDATIONS OF BLOCK CHAIN ENGINEERING</v>
          </cell>
        </row>
        <row r="587">
          <cell r="B587">
            <v>2400030729</v>
          </cell>
          <cell r="C587" t="str">
            <v>KANDULA  PARDHU</v>
          </cell>
          <cell r="D587" t="str">
            <v>24CS2237F</v>
          </cell>
          <cell r="E587" t="str">
            <v>L</v>
          </cell>
          <cell r="F587" t="str">
            <v>QUANTUM COMPUTING</v>
          </cell>
        </row>
        <row r="588">
          <cell r="B588">
            <v>2400030725</v>
          </cell>
          <cell r="C588" t="str">
            <v>KONDRAJU  KISHAN DEEP VARMA</v>
          </cell>
          <cell r="D588" t="str">
            <v>24CS2258F</v>
          </cell>
          <cell r="E588" t="str">
            <v>L</v>
          </cell>
          <cell r="F588" t="str">
            <v>NATURAL LANGUAGE PROCESSING</v>
          </cell>
        </row>
        <row r="589">
          <cell r="B589">
            <v>2400030723</v>
          </cell>
          <cell r="C589" t="str">
            <v>ODUGU SRI DURGA  PRASAD</v>
          </cell>
          <cell r="D589" t="str">
            <v>24CS2237F</v>
          </cell>
          <cell r="E589" t="str">
            <v>L</v>
          </cell>
          <cell r="F589" t="str">
            <v>QUANTUM COMPUTING</v>
          </cell>
        </row>
        <row r="590">
          <cell r="B590">
            <v>2400030722</v>
          </cell>
          <cell r="C590" t="str">
            <v>PALASANI VISHNU VARDHAN REDDY</v>
          </cell>
          <cell r="D590" t="str">
            <v>24CS2260F</v>
          </cell>
          <cell r="E590" t="str">
            <v>L</v>
          </cell>
          <cell r="F590" t="str">
            <v>FOUNDATIONS OF CLOUD-NATIVE COMPUTING &amp; DEVOPS</v>
          </cell>
        </row>
        <row r="591">
          <cell r="B591">
            <v>2400030721</v>
          </cell>
          <cell r="C591" t="str">
            <v>KOTTE  JAIKIRAN</v>
          </cell>
          <cell r="D591" t="str">
            <v>24CS2237F</v>
          </cell>
          <cell r="E591" t="str">
            <v>L</v>
          </cell>
          <cell r="F591" t="str">
            <v>QUANTUM COMPUTING</v>
          </cell>
        </row>
        <row r="592">
          <cell r="B592">
            <v>2400030715</v>
          </cell>
          <cell r="C592" t="str">
            <v>REPUDI  GAYATHRIDEVI</v>
          </cell>
          <cell r="D592" t="str">
            <v>24CS2255F</v>
          </cell>
          <cell r="E592" t="str">
            <v>L</v>
          </cell>
          <cell r="F592" t="str">
            <v>ADVANCED DATA STRUCTURES</v>
          </cell>
        </row>
        <row r="593">
          <cell r="B593">
            <v>2400030702</v>
          </cell>
          <cell r="C593" t="str">
            <v>VAYINENI  SRIVATSAVA</v>
          </cell>
          <cell r="D593" t="str">
            <v>24CS2224F</v>
          </cell>
          <cell r="E593" t="str">
            <v>L</v>
          </cell>
          <cell r="F593" t="str">
            <v>CRYPT ANALYSIS AND CYBER DEFENCE</v>
          </cell>
        </row>
        <row r="594">
          <cell r="B594">
            <v>2400030700</v>
          </cell>
          <cell r="C594" t="str">
            <v>SHAIK  ROHAN</v>
          </cell>
          <cell r="D594" t="str">
            <v>24CS2260F</v>
          </cell>
          <cell r="E594" t="str">
            <v>L</v>
          </cell>
          <cell r="F594" t="str">
            <v>FOUNDATIONS OF CLOUD-NATIVE COMPUTING &amp; DEVOPS</v>
          </cell>
        </row>
        <row r="595">
          <cell r="B595">
            <v>2400030699</v>
          </cell>
          <cell r="C595" t="str">
            <v>ANANTHANENI  RAKESH</v>
          </cell>
          <cell r="D595" t="str">
            <v>24CS2239F</v>
          </cell>
          <cell r="E595" t="str">
            <v>L</v>
          </cell>
          <cell r="F595" t="str">
            <v>SOFTWARE VERIFICATION AND VALIDATION</v>
          </cell>
        </row>
        <row r="596">
          <cell r="B596">
            <v>2400030696</v>
          </cell>
          <cell r="C596" t="str">
            <v>MARISERLA   VIVEK</v>
          </cell>
          <cell r="D596" t="str">
            <v>24CS2227F</v>
          </cell>
          <cell r="E596" t="str">
            <v>L</v>
          </cell>
          <cell r="F596" t="str">
            <v>DATA ANALYTICS AND VISUALIZATION</v>
          </cell>
        </row>
        <row r="597">
          <cell r="B597">
            <v>2400030695</v>
          </cell>
          <cell r="C597" t="str">
            <v>ALLURI  HEMANTH CHOWDARY</v>
          </cell>
          <cell r="D597" t="str">
            <v>24CS2258F</v>
          </cell>
          <cell r="E597" t="str">
            <v>L</v>
          </cell>
          <cell r="F597" t="str">
            <v>NATURAL LANGUAGE PROCESSING</v>
          </cell>
        </row>
        <row r="598">
          <cell r="B598">
            <v>2400030687</v>
          </cell>
          <cell r="C598" t="str">
            <v>KAVURU PAVAN CHARAN</v>
          </cell>
          <cell r="D598" t="str">
            <v>24CS2260F</v>
          </cell>
          <cell r="E598" t="str">
            <v>L</v>
          </cell>
          <cell r="F598" t="str">
            <v>FOUNDATIONS OF CLOUD-NATIVE COMPUTING &amp; DEVOPS</v>
          </cell>
        </row>
        <row r="599">
          <cell r="B599">
            <v>2400030681</v>
          </cell>
          <cell r="C599" t="str">
            <v>AAKULA KUMAR CHENNAKESHAVA  KOUSHIK</v>
          </cell>
          <cell r="D599" t="str">
            <v>24CS2255F</v>
          </cell>
          <cell r="E599" t="str">
            <v>L</v>
          </cell>
          <cell r="F599" t="str">
            <v>ADVANCED DATA STRUCTURES</v>
          </cell>
        </row>
        <row r="600">
          <cell r="B600">
            <v>2400030670</v>
          </cell>
          <cell r="C600" t="str">
            <v>GAJULA LAKSHMI SURYA BHANU PRAKASH</v>
          </cell>
          <cell r="D600" t="str">
            <v>24CS2258F</v>
          </cell>
          <cell r="E600" t="str">
            <v>L</v>
          </cell>
          <cell r="F600" t="str">
            <v>NATURAL LANGUAGE PROCESSING</v>
          </cell>
        </row>
        <row r="601">
          <cell r="B601">
            <v>2400030657</v>
          </cell>
          <cell r="C601" t="str">
            <v>TATIREDDY GANESH KUMAR REDDY</v>
          </cell>
          <cell r="D601" t="str">
            <v>24CS2224F</v>
          </cell>
          <cell r="E601" t="str">
            <v>L</v>
          </cell>
          <cell r="F601" t="str">
            <v>CRYPT ANALYSIS AND CYBER DEFENCE</v>
          </cell>
        </row>
        <row r="602">
          <cell r="B602">
            <v>2400030649</v>
          </cell>
          <cell r="C602" t="str">
            <v>GAJJALA  SAKETH</v>
          </cell>
          <cell r="D602" t="str">
            <v>24CS2255F</v>
          </cell>
          <cell r="E602" t="str">
            <v>L</v>
          </cell>
          <cell r="F602" t="str">
            <v>ADVANCED DATA STRUCTURES</v>
          </cell>
        </row>
        <row r="603">
          <cell r="B603">
            <v>2400030640</v>
          </cell>
          <cell r="C603" t="str">
            <v>RATHOD   GANESH</v>
          </cell>
          <cell r="D603" t="str">
            <v>24CS2255F</v>
          </cell>
          <cell r="E603" t="str">
            <v>L</v>
          </cell>
          <cell r="F603" t="str">
            <v>ADVANCED DATA STRUCTURES</v>
          </cell>
        </row>
        <row r="604">
          <cell r="B604">
            <v>2400030638</v>
          </cell>
          <cell r="C604" t="str">
            <v>RUDRAMSH REDDY PINGALI</v>
          </cell>
          <cell r="D604" t="str">
            <v>24CS2258F</v>
          </cell>
          <cell r="E604" t="str">
            <v>L</v>
          </cell>
          <cell r="F604" t="str">
            <v>NATURAL LANGUAGE PROCESSING</v>
          </cell>
        </row>
        <row r="605">
          <cell r="B605">
            <v>2400030598</v>
          </cell>
          <cell r="C605" t="str">
            <v>KARNA RAHUL REDDY</v>
          </cell>
          <cell r="D605" t="str">
            <v>24CS2264F</v>
          </cell>
          <cell r="E605" t="str">
            <v>L</v>
          </cell>
          <cell r="F605" t="str">
            <v>GAME SYSTEMS DESIGN AND DEVELOPMENT</v>
          </cell>
        </row>
        <row r="606">
          <cell r="B606">
            <v>2400030595</v>
          </cell>
          <cell r="C606" t="str">
            <v>GANGISETTY KALYAN  RAGHAVENDRA</v>
          </cell>
          <cell r="D606" t="str">
            <v>24CS2237F</v>
          </cell>
          <cell r="E606" t="str">
            <v>L</v>
          </cell>
          <cell r="F606" t="str">
            <v>QUANTUM COMPUTING</v>
          </cell>
        </row>
        <row r="607">
          <cell r="B607">
            <v>2400030592</v>
          </cell>
          <cell r="C607" t="str">
            <v>NUNE GIRI PRANEETH</v>
          </cell>
          <cell r="D607" t="str">
            <v>24CS2255F</v>
          </cell>
          <cell r="E607" t="str">
            <v>L</v>
          </cell>
          <cell r="F607" t="str">
            <v>ADVANCED DATA STRUCTURES</v>
          </cell>
        </row>
        <row r="608">
          <cell r="B608">
            <v>2400030588</v>
          </cell>
          <cell r="C608" t="str">
            <v>MURIKIPUDI   ANANYA</v>
          </cell>
          <cell r="D608" t="str">
            <v>24CS2258F</v>
          </cell>
          <cell r="E608" t="str">
            <v>L</v>
          </cell>
          <cell r="F608" t="str">
            <v>NATURAL LANGUAGE PROCESSING</v>
          </cell>
        </row>
        <row r="609">
          <cell r="B609">
            <v>2400030587</v>
          </cell>
          <cell r="C609" t="str">
            <v>BANDLA  BHARGAVI</v>
          </cell>
          <cell r="D609" t="str">
            <v>24CS2255F</v>
          </cell>
          <cell r="E609" t="str">
            <v>L</v>
          </cell>
          <cell r="F609" t="str">
            <v>ADVANCED DATA STRUCTURES</v>
          </cell>
        </row>
        <row r="610">
          <cell r="B610">
            <v>2400030574</v>
          </cell>
          <cell r="C610" t="str">
            <v>RAVIRAJ KUMAR MAHATO</v>
          </cell>
          <cell r="D610" t="str">
            <v>24CS2255F</v>
          </cell>
          <cell r="E610" t="str">
            <v>L</v>
          </cell>
          <cell r="F610" t="str">
            <v>ADVANCED DATA STRUCTURES</v>
          </cell>
        </row>
        <row r="611">
          <cell r="B611">
            <v>2400030569</v>
          </cell>
          <cell r="C611" t="str">
            <v>GUDAPATI  MANIKANTA</v>
          </cell>
          <cell r="D611" t="str">
            <v>24EC2223F</v>
          </cell>
          <cell r="E611" t="str">
            <v>L</v>
          </cell>
          <cell r="F611" t="str">
            <v>FUNDAMENTALS OF ROBOTICS</v>
          </cell>
        </row>
        <row r="612">
          <cell r="B612">
            <v>2400030563</v>
          </cell>
          <cell r="C612" t="str">
            <v>THAMMISETTY MAHESH  BABU</v>
          </cell>
          <cell r="D612" t="str">
            <v>24CS2255F</v>
          </cell>
          <cell r="E612" t="str">
            <v>L</v>
          </cell>
          <cell r="F612" t="str">
            <v>ADVANCED DATA STRUCTURES</v>
          </cell>
        </row>
        <row r="613">
          <cell r="B613">
            <v>2400030561</v>
          </cell>
          <cell r="C613" t="str">
            <v>GORANTLA  TARUN SAI</v>
          </cell>
          <cell r="D613" t="str">
            <v>24CS2221F</v>
          </cell>
          <cell r="E613" t="str">
            <v>L</v>
          </cell>
          <cell r="F613" t="str">
            <v>UX DESIGN</v>
          </cell>
        </row>
        <row r="614">
          <cell r="B614">
            <v>2400030554</v>
          </cell>
          <cell r="C614" t="str">
            <v>EMANI MOHITH SAI</v>
          </cell>
          <cell r="D614" t="str">
            <v>24CS2221F</v>
          </cell>
          <cell r="E614" t="str">
            <v>L</v>
          </cell>
          <cell r="F614" t="str">
            <v>UX DESIGN</v>
          </cell>
        </row>
        <row r="615">
          <cell r="B615">
            <v>2400030553</v>
          </cell>
          <cell r="C615" t="str">
            <v>GONDELA  NAGA VENKATA  SURYA PAVAN DHANUSH</v>
          </cell>
          <cell r="D615" t="str">
            <v>24CS2237F</v>
          </cell>
          <cell r="E615" t="str">
            <v>L</v>
          </cell>
          <cell r="F615" t="str">
            <v>QUANTUM COMPUTING</v>
          </cell>
        </row>
        <row r="616">
          <cell r="B616">
            <v>2400030552</v>
          </cell>
          <cell r="C616" t="str">
            <v>KONDRU GOWRI  JASWANTH</v>
          </cell>
          <cell r="D616" t="str">
            <v>24CS2221F</v>
          </cell>
          <cell r="E616" t="str">
            <v>L</v>
          </cell>
          <cell r="F616" t="str">
            <v>UX DESIGN</v>
          </cell>
        </row>
        <row r="617">
          <cell r="B617">
            <v>2400030551</v>
          </cell>
          <cell r="C617" t="str">
            <v>GOLLA  ABHINASH</v>
          </cell>
          <cell r="D617" t="str">
            <v>24CS2221F</v>
          </cell>
          <cell r="E617" t="str">
            <v>L</v>
          </cell>
          <cell r="F617" t="str">
            <v>UX DESIGN</v>
          </cell>
        </row>
        <row r="618">
          <cell r="B618">
            <v>2400030544</v>
          </cell>
          <cell r="C618" t="str">
            <v>SETTI   DHEERAJ</v>
          </cell>
          <cell r="D618" t="str">
            <v>24CS2239F</v>
          </cell>
          <cell r="E618" t="str">
            <v>L</v>
          </cell>
          <cell r="F618" t="str">
            <v>SOFTWARE VERIFICATION AND VALIDATION</v>
          </cell>
        </row>
        <row r="619">
          <cell r="B619">
            <v>2400030543</v>
          </cell>
          <cell r="C619" t="str">
            <v>MEKALA VIVEK VARDHAN</v>
          </cell>
          <cell r="D619" t="str">
            <v>24CS2255F</v>
          </cell>
          <cell r="E619" t="str">
            <v>L</v>
          </cell>
          <cell r="F619" t="str">
            <v>ADVANCED DATA STRUCTURES</v>
          </cell>
        </row>
        <row r="620">
          <cell r="B620">
            <v>2400030536</v>
          </cell>
          <cell r="C620" t="str">
            <v>THOTA  THANUSRI</v>
          </cell>
          <cell r="D620" t="str">
            <v>24CS2255F</v>
          </cell>
          <cell r="E620" t="str">
            <v>L</v>
          </cell>
          <cell r="F620" t="str">
            <v>ADVANCED DATA STRUCTURES</v>
          </cell>
        </row>
        <row r="621">
          <cell r="B621">
            <v>2400030527</v>
          </cell>
          <cell r="C621" t="str">
            <v>YELE MOHAN SAI VAIBHAV</v>
          </cell>
          <cell r="D621" t="str">
            <v>24CS2258F</v>
          </cell>
          <cell r="E621" t="str">
            <v>L</v>
          </cell>
          <cell r="F621" t="str">
            <v>NATURAL LANGUAGE PROCESSING</v>
          </cell>
        </row>
        <row r="622">
          <cell r="B622">
            <v>2400030514</v>
          </cell>
          <cell r="C622" t="str">
            <v>NUNNA  HASINI</v>
          </cell>
          <cell r="D622" t="str">
            <v>24CS2221F</v>
          </cell>
          <cell r="E622" t="str">
            <v>L</v>
          </cell>
          <cell r="F622" t="str">
            <v>UX DESIGN</v>
          </cell>
        </row>
        <row r="623">
          <cell r="B623">
            <v>2400030512</v>
          </cell>
          <cell r="C623" t="str">
            <v>DEVARAKONDA LEELA SATHWIK</v>
          </cell>
          <cell r="D623" t="str">
            <v>24CS2255F</v>
          </cell>
          <cell r="E623" t="str">
            <v>L</v>
          </cell>
          <cell r="F623" t="str">
            <v>ADVANCED DATA STRUCTURES</v>
          </cell>
        </row>
        <row r="624">
          <cell r="B624">
            <v>2400030507</v>
          </cell>
          <cell r="C624" t="str">
            <v>KOTHAPALLI  DINESH</v>
          </cell>
          <cell r="D624" t="str">
            <v>24CS2256F</v>
          </cell>
          <cell r="E624" t="str">
            <v>L</v>
          </cell>
          <cell r="F624" t="str">
            <v>FOUNDATIONS OF BLOCK CHAIN ENGINEERING</v>
          </cell>
        </row>
        <row r="625">
          <cell r="B625">
            <v>2400030497</v>
          </cell>
          <cell r="C625" t="str">
            <v>MEDASANI  KRISHNA CHAITANYA</v>
          </cell>
          <cell r="D625" t="str">
            <v>24CS2239F</v>
          </cell>
          <cell r="E625" t="str">
            <v>L</v>
          </cell>
          <cell r="F625" t="str">
            <v>SOFTWARE VERIFICATION AND VALIDATION</v>
          </cell>
        </row>
        <row r="626">
          <cell r="B626">
            <v>2400030487</v>
          </cell>
          <cell r="C626" t="str">
            <v>KANIKE VIJAYA RAGHAVENDRA</v>
          </cell>
          <cell r="D626" t="str">
            <v>24CS2255F</v>
          </cell>
          <cell r="E626" t="str">
            <v>L</v>
          </cell>
          <cell r="F626" t="str">
            <v>ADVANCED DATA STRUCTURES</v>
          </cell>
        </row>
        <row r="627">
          <cell r="B627">
            <v>2400030481</v>
          </cell>
          <cell r="C627" t="str">
            <v>JINNA V KARTHIKEYA VIKAS</v>
          </cell>
          <cell r="D627" t="str">
            <v>24CS2237F</v>
          </cell>
          <cell r="E627" t="str">
            <v>L</v>
          </cell>
          <cell r="F627" t="str">
            <v>QUANTUM COMPUTING</v>
          </cell>
        </row>
        <row r="628">
          <cell r="B628">
            <v>2400030473</v>
          </cell>
          <cell r="C628" t="str">
            <v>DESABOYINA KESA SAI VARDHAN</v>
          </cell>
          <cell r="D628" t="str">
            <v>24CS2255F</v>
          </cell>
          <cell r="E628" t="str">
            <v>L</v>
          </cell>
          <cell r="F628" t="str">
            <v>ADVANCED DATA STRUCTURES</v>
          </cell>
        </row>
        <row r="629">
          <cell r="B629">
            <v>2400030472</v>
          </cell>
          <cell r="C629" t="str">
            <v>KONDA SAMPATH KUMAR REDDY</v>
          </cell>
          <cell r="D629" t="str">
            <v>24CS2256F</v>
          </cell>
          <cell r="E629" t="str">
            <v>L</v>
          </cell>
          <cell r="F629" t="str">
            <v>FOUNDATIONS OF BLOCK CHAIN ENGINEERING</v>
          </cell>
        </row>
        <row r="630">
          <cell r="B630">
            <v>2400030466</v>
          </cell>
          <cell r="C630" t="str">
            <v>KOMIRISETTY  TANUJESWARI</v>
          </cell>
          <cell r="D630" t="str">
            <v>24CS2224F</v>
          </cell>
          <cell r="E630" t="str">
            <v>L</v>
          </cell>
          <cell r="F630" t="str">
            <v>CRYPT ANALYSIS AND CYBER DEFENCE</v>
          </cell>
        </row>
        <row r="631">
          <cell r="B631">
            <v>2400030461</v>
          </cell>
          <cell r="C631" t="str">
            <v>KOTA  VIGNESH</v>
          </cell>
          <cell r="D631" t="str">
            <v>24CS2255F</v>
          </cell>
          <cell r="E631" t="str">
            <v>L</v>
          </cell>
          <cell r="F631" t="str">
            <v>ADVANCED DATA STRUCTURES</v>
          </cell>
        </row>
        <row r="632">
          <cell r="B632">
            <v>2400030457</v>
          </cell>
          <cell r="C632" t="str">
            <v>JONNA PAVAN  GANGA</v>
          </cell>
          <cell r="D632" t="str">
            <v>24CS2256F</v>
          </cell>
          <cell r="E632" t="str">
            <v>L</v>
          </cell>
          <cell r="F632" t="str">
            <v>FOUNDATIONS OF BLOCK CHAIN ENGINEERING</v>
          </cell>
        </row>
        <row r="633">
          <cell r="B633">
            <v>2400030453</v>
          </cell>
          <cell r="C633" t="str">
            <v>THUMMALAPALLI  YASWANTH SAI BALAJI</v>
          </cell>
          <cell r="D633" t="str">
            <v>24CS2255F</v>
          </cell>
          <cell r="E633" t="str">
            <v>L</v>
          </cell>
          <cell r="F633" t="str">
            <v>ADVANCED DATA STRUCTURES</v>
          </cell>
        </row>
        <row r="634">
          <cell r="B634">
            <v>2400030451</v>
          </cell>
          <cell r="C634" t="str">
            <v>PYLA  MAHESH</v>
          </cell>
          <cell r="D634" t="str">
            <v>24CS2224F</v>
          </cell>
          <cell r="E634" t="str">
            <v>L</v>
          </cell>
          <cell r="F634" t="str">
            <v>CRYPT ANALYSIS AND CYBER DEFENCE</v>
          </cell>
        </row>
        <row r="635">
          <cell r="B635">
            <v>2400030446</v>
          </cell>
          <cell r="C635" t="str">
            <v>SADIREDDI  VEERABABU</v>
          </cell>
          <cell r="D635" t="str">
            <v>24CS2221F</v>
          </cell>
          <cell r="E635" t="str">
            <v>L</v>
          </cell>
          <cell r="F635" t="str">
            <v>UX DESIGN</v>
          </cell>
        </row>
        <row r="636">
          <cell r="B636">
            <v>2400030445</v>
          </cell>
          <cell r="C636" t="str">
            <v>BONDALAPATI  NAGENDRA BABU</v>
          </cell>
          <cell r="D636" t="str">
            <v>24CS2221F</v>
          </cell>
          <cell r="E636" t="str">
            <v>L</v>
          </cell>
          <cell r="F636" t="str">
            <v>UX DESIGN</v>
          </cell>
        </row>
        <row r="637">
          <cell r="B637">
            <v>2400030442</v>
          </cell>
          <cell r="C637" t="str">
            <v>NARAHARISETTI  JAIRAM SURYA SRITEJ</v>
          </cell>
          <cell r="D637" t="str">
            <v>24CS2255F</v>
          </cell>
          <cell r="E637" t="str">
            <v>L</v>
          </cell>
          <cell r="F637" t="str">
            <v>ADVANCED DATA STRUCTURES</v>
          </cell>
        </row>
        <row r="638">
          <cell r="B638">
            <v>2400030435</v>
          </cell>
          <cell r="C638" t="str">
            <v>NULU  LAKSHMI DINESH</v>
          </cell>
          <cell r="D638" t="str">
            <v>24CS2224F</v>
          </cell>
          <cell r="E638" t="str">
            <v>L</v>
          </cell>
          <cell r="F638" t="str">
            <v>CRYPT ANALYSIS AND CYBER DEFENCE</v>
          </cell>
        </row>
        <row r="639">
          <cell r="B639">
            <v>2400030434</v>
          </cell>
          <cell r="C639" t="str">
            <v>TENKA   PRIDHVI RAJ</v>
          </cell>
          <cell r="D639" t="str">
            <v>24CS2256F</v>
          </cell>
          <cell r="E639" t="str">
            <v>L</v>
          </cell>
          <cell r="F639" t="str">
            <v>FOUNDATIONS OF BLOCK CHAIN ENGINEERING</v>
          </cell>
        </row>
        <row r="640">
          <cell r="B640">
            <v>2400030428</v>
          </cell>
          <cell r="C640" t="str">
            <v>GANDIKOTA   SAI KIRAN</v>
          </cell>
          <cell r="D640" t="str">
            <v>24CS2237F</v>
          </cell>
          <cell r="E640" t="str">
            <v>L</v>
          </cell>
          <cell r="F640" t="str">
            <v>QUANTUM COMPUTING</v>
          </cell>
        </row>
        <row r="641">
          <cell r="B641">
            <v>2400030424</v>
          </cell>
          <cell r="C641" t="str">
            <v>ALURU  SAI VAMSI</v>
          </cell>
          <cell r="D641" t="str">
            <v>24CS2221F</v>
          </cell>
          <cell r="E641" t="str">
            <v>L</v>
          </cell>
          <cell r="F641" t="str">
            <v>UX DESIGN</v>
          </cell>
        </row>
        <row r="642">
          <cell r="B642">
            <v>2400030414</v>
          </cell>
          <cell r="C642" t="str">
            <v>AALA  SATISH</v>
          </cell>
          <cell r="D642" t="str">
            <v>24CS2227F</v>
          </cell>
          <cell r="E642" t="str">
            <v>L</v>
          </cell>
          <cell r="F642" t="str">
            <v>DATA ANALYTICS AND VISUALIZATION</v>
          </cell>
        </row>
        <row r="643">
          <cell r="B643">
            <v>2400030407</v>
          </cell>
          <cell r="C643" t="str">
            <v>PEDDYREDDY VENKATA KRISHNA REDDY</v>
          </cell>
          <cell r="D643" t="str">
            <v>24CS2255F</v>
          </cell>
          <cell r="E643" t="str">
            <v>L</v>
          </cell>
          <cell r="F643" t="str">
            <v>ADVANCED DATA STRUCTURES</v>
          </cell>
        </row>
        <row r="644">
          <cell r="B644">
            <v>2400030405</v>
          </cell>
          <cell r="C644" t="str">
            <v>JAVVADI   JYOTHI PRAKASH</v>
          </cell>
          <cell r="D644" t="str">
            <v>24CS2258F</v>
          </cell>
          <cell r="E644" t="str">
            <v>L</v>
          </cell>
          <cell r="F644" t="str">
            <v>NATURAL LANGUAGE PROCESSING</v>
          </cell>
        </row>
        <row r="645">
          <cell r="B645">
            <v>2400030403</v>
          </cell>
          <cell r="C645" t="str">
            <v>BITRA  MOHITH RAMANJULU</v>
          </cell>
          <cell r="D645" t="str">
            <v>24CS2255F</v>
          </cell>
          <cell r="E645" t="str">
            <v>L</v>
          </cell>
          <cell r="F645" t="str">
            <v>ADVANCED DATA STRUCTURES</v>
          </cell>
        </row>
        <row r="646">
          <cell r="B646">
            <v>2400030400</v>
          </cell>
          <cell r="C646" t="str">
            <v>TUNUGUNTLA SNEHA SRI SAI VAISHNAVI</v>
          </cell>
          <cell r="D646" t="str">
            <v>24CS2221F</v>
          </cell>
          <cell r="E646" t="str">
            <v>L</v>
          </cell>
          <cell r="F646" t="str">
            <v>UX DESIGN</v>
          </cell>
        </row>
        <row r="647">
          <cell r="B647">
            <v>2400030398</v>
          </cell>
          <cell r="C647" t="str">
            <v>GURUGUBELLI  NAVANEETH</v>
          </cell>
          <cell r="D647" t="str">
            <v>24CS2237F</v>
          </cell>
          <cell r="E647" t="str">
            <v>L</v>
          </cell>
          <cell r="F647" t="str">
            <v>QUANTUM COMPUTING</v>
          </cell>
        </row>
        <row r="648">
          <cell r="B648">
            <v>2400030395</v>
          </cell>
          <cell r="C648" t="str">
            <v>KUCHI BHASKAR RAMA SATYA  SRI DATTA SAI</v>
          </cell>
          <cell r="D648" t="str">
            <v>24CS2239F</v>
          </cell>
          <cell r="E648" t="str">
            <v>L</v>
          </cell>
          <cell r="F648" t="str">
            <v>SOFTWARE VERIFICATION AND VALIDATION</v>
          </cell>
        </row>
        <row r="649">
          <cell r="B649">
            <v>2400030391</v>
          </cell>
          <cell r="C649" t="str">
            <v>GUNNAM  VENKATA SIVA RAJU</v>
          </cell>
          <cell r="D649" t="str">
            <v>24CS2255F</v>
          </cell>
          <cell r="E649" t="str">
            <v>L</v>
          </cell>
          <cell r="F649" t="str">
            <v>ADVANCED DATA STRUCTURES</v>
          </cell>
        </row>
        <row r="650">
          <cell r="B650">
            <v>2400030390</v>
          </cell>
          <cell r="C650" t="str">
            <v>MANCHALA DINESH VEERA MANI KUMAR</v>
          </cell>
          <cell r="D650" t="str">
            <v>24CS2221F</v>
          </cell>
          <cell r="E650" t="str">
            <v>L</v>
          </cell>
          <cell r="F650" t="str">
            <v>UX DESIGN</v>
          </cell>
        </row>
        <row r="651">
          <cell r="B651">
            <v>2400030385</v>
          </cell>
          <cell r="C651" t="str">
            <v>SURAMPUDI  SRI SHANMUKHA KRISHNA</v>
          </cell>
          <cell r="D651" t="str">
            <v>24CS2224F</v>
          </cell>
          <cell r="E651" t="str">
            <v>L</v>
          </cell>
          <cell r="F651" t="str">
            <v>CRYPT ANALYSIS AND CYBER DEFENCE</v>
          </cell>
        </row>
        <row r="652">
          <cell r="B652">
            <v>2400030383</v>
          </cell>
          <cell r="C652" t="str">
            <v>PATI  PURNA SATYA SAI CHARAN</v>
          </cell>
          <cell r="D652" t="str">
            <v>24CS2255F</v>
          </cell>
          <cell r="E652" t="str">
            <v>L</v>
          </cell>
          <cell r="F652" t="str">
            <v>ADVANCED DATA STRUCTURES</v>
          </cell>
        </row>
        <row r="653">
          <cell r="B653">
            <v>2400030381</v>
          </cell>
          <cell r="C653" t="str">
            <v>KAKANURU  KISHORE REDDY</v>
          </cell>
          <cell r="D653" t="str">
            <v>24CS2256F</v>
          </cell>
          <cell r="E653" t="str">
            <v>L</v>
          </cell>
          <cell r="F653" t="str">
            <v>FOUNDATIONS OF BLOCK CHAIN ENGINEERING</v>
          </cell>
        </row>
        <row r="654">
          <cell r="B654">
            <v>2400030378</v>
          </cell>
          <cell r="C654" t="str">
            <v xml:space="preserve">KOYA BHANU  KIRAN </v>
          </cell>
          <cell r="D654" t="str">
            <v>24CS2237F</v>
          </cell>
          <cell r="E654" t="str">
            <v>L</v>
          </cell>
          <cell r="F654" t="str">
            <v>QUANTUM COMPUTING</v>
          </cell>
        </row>
        <row r="655">
          <cell r="B655">
            <v>2400030374</v>
          </cell>
          <cell r="C655" t="str">
            <v>GANUGULA  KARTHIKEYA</v>
          </cell>
          <cell r="D655" t="str">
            <v>24CS2256F</v>
          </cell>
          <cell r="E655" t="str">
            <v>L</v>
          </cell>
          <cell r="F655" t="str">
            <v>FOUNDATIONS OF BLOCK CHAIN ENGINEERING</v>
          </cell>
        </row>
        <row r="656">
          <cell r="B656">
            <v>2400030346</v>
          </cell>
          <cell r="C656" t="str">
            <v>TANUKONDA  PAVAN  SANDEEP</v>
          </cell>
          <cell r="D656" t="str">
            <v>24EC2223F</v>
          </cell>
          <cell r="E656" t="str">
            <v>L</v>
          </cell>
          <cell r="F656" t="str">
            <v>FUNDAMENTALS OF ROBOTICS</v>
          </cell>
        </row>
        <row r="657">
          <cell r="B657">
            <v>2400030345</v>
          </cell>
          <cell r="C657" t="str">
            <v>MAPATI DEVI  PRASANTH</v>
          </cell>
          <cell r="D657" t="str">
            <v>24CS2227F</v>
          </cell>
          <cell r="E657" t="str">
            <v>L</v>
          </cell>
          <cell r="F657" t="str">
            <v>DATA ANALYTICS AND VISUALIZATION</v>
          </cell>
        </row>
        <row r="658">
          <cell r="B658">
            <v>2400030337</v>
          </cell>
          <cell r="C658" t="str">
            <v>TATAVARTHI  VENKATESWARA RAO</v>
          </cell>
          <cell r="D658" t="str">
            <v>24CS2227F</v>
          </cell>
          <cell r="E658" t="str">
            <v>L</v>
          </cell>
          <cell r="F658" t="str">
            <v>DATA ANALYTICS AND VISUALIZATION</v>
          </cell>
        </row>
        <row r="659">
          <cell r="B659">
            <v>2400030336</v>
          </cell>
          <cell r="C659" t="str">
            <v>KAPAKA YUKTARAM  SRIKAR</v>
          </cell>
          <cell r="D659" t="str">
            <v>24CS2227F</v>
          </cell>
          <cell r="E659" t="str">
            <v>L</v>
          </cell>
          <cell r="F659" t="str">
            <v>DATA ANALYTICS AND VISUALIZATION</v>
          </cell>
        </row>
        <row r="660">
          <cell r="B660">
            <v>2400030334</v>
          </cell>
          <cell r="C660" t="str">
            <v>KOTA YESWANTH KUMAR NAIDU</v>
          </cell>
          <cell r="D660" t="str">
            <v>24CS2237F</v>
          </cell>
          <cell r="E660" t="str">
            <v>L</v>
          </cell>
          <cell r="F660" t="str">
            <v>QUANTUM COMPUTING</v>
          </cell>
        </row>
        <row r="661">
          <cell r="B661">
            <v>2400030332</v>
          </cell>
          <cell r="C661" t="str">
            <v>KANTAMANI NALIN  KUMAR</v>
          </cell>
          <cell r="D661" t="str">
            <v>24CS2255F</v>
          </cell>
          <cell r="E661" t="str">
            <v>L</v>
          </cell>
          <cell r="F661" t="str">
            <v>ADVANCED DATA STRUCTURES</v>
          </cell>
        </row>
        <row r="662">
          <cell r="B662">
            <v>2400030331</v>
          </cell>
          <cell r="C662" t="str">
            <v>PUPPALA   DEEKSHITHA</v>
          </cell>
          <cell r="D662" t="str">
            <v>24CS2255F</v>
          </cell>
          <cell r="E662" t="str">
            <v>L</v>
          </cell>
          <cell r="F662" t="str">
            <v>ADVANCED DATA STRUCTURES</v>
          </cell>
        </row>
        <row r="663">
          <cell r="B663">
            <v>2400030330</v>
          </cell>
          <cell r="C663" t="str">
            <v xml:space="preserve">VELAGA JAI  VYSHNAVI </v>
          </cell>
          <cell r="D663" t="str">
            <v>24CS2260F</v>
          </cell>
          <cell r="E663" t="str">
            <v>L</v>
          </cell>
          <cell r="F663" t="str">
            <v>FOUNDATIONS OF CLOUD-NATIVE COMPUTING &amp; DEVOPS</v>
          </cell>
        </row>
        <row r="664">
          <cell r="B664">
            <v>2400030324</v>
          </cell>
          <cell r="C664" t="str">
            <v>GOKEDA MANIKANTA  SAI</v>
          </cell>
          <cell r="D664" t="str">
            <v>24CS2260F</v>
          </cell>
          <cell r="E664" t="str">
            <v>L</v>
          </cell>
          <cell r="F664" t="str">
            <v>FOUNDATIONS OF CLOUD-NATIVE COMPUTING &amp; DEVOPS</v>
          </cell>
        </row>
        <row r="665">
          <cell r="B665">
            <v>2400030321</v>
          </cell>
          <cell r="C665" t="str">
            <v>GURRALA SAI  SANJAY</v>
          </cell>
          <cell r="D665" t="str">
            <v>24CS2256F</v>
          </cell>
          <cell r="E665" t="str">
            <v>L</v>
          </cell>
          <cell r="F665" t="str">
            <v>FOUNDATIONS OF BLOCK CHAIN ENGINEERING</v>
          </cell>
        </row>
        <row r="666">
          <cell r="B666">
            <v>2400030318</v>
          </cell>
          <cell r="C666" t="str">
            <v>MADDALA SRI RAM  CHARAN</v>
          </cell>
          <cell r="D666" t="str">
            <v>24CS2224F</v>
          </cell>
          <cell r="E666" t="str">
            <v>L</v>
          </cell>
          <cell r="F666" t="str">
            <v>CRYPT ANALYSIS AND CYBER DEFENCE</v>
          </cell>
        </row>
        <row r="667">
          <cell r="B667">
            <v>2400030315</v>
          </cell>
          <cell r="C667" t="str">
            <v>REGADI SHASHI  RAGHAVA</v>
          </cell>
          <cell r="D667" t="str">
            <v>24CS2258F</v>
          </cell>
          <cell r="E667" t="str">
            <v>L</v>
          </cell>
          <cell r="F667" t="str">
            <v>NATURAL LANGUAGE PROCESSING</v>
          </cell>
        </row>
        <row r="668">
          <cell r="B668">
            <v>2400030312</v>
          </cell>
          <cell r="C668" t="str">
            <v>CHILUKURI AKASH SATYA VENKATA CHOWDARY</v>
          </cell>
          <cell r="D668" t="str">
            <v>24CS2237F</v>
          </cell>
          <cell r="E668" t="str">
            <v>L</v>
          </cell>
          <cell r="F668" t="str">
            <v>QUANTUM COMPUTING</v>
          </cell>
        </row>
        <row r="669">
          <cell r="B669">
            <v>2400030311</v>
          </cell>
          <cell r="C669" t="str">
            <v>GOPU SATYA  SAI</v>
          </cell>
          <cell r="D669" t="str">
            <v>24CS2221F</v>
          </cell>
          <cell r="E669" t="str">
            <v>L</v>
          </cell>
          <cell r="F669" t="str">
            <v>UX DESIGN</v>
          </cell>
        </row>
        <row r="670">
          <cell r="B670">
            <v>2400030299</v>
          </cell>
          <cell r="C670" t="str">
            <v>KONKALA  AKHIL SAI  PULLAREDDY</v>
          </cell>
          <cell r="D670" t="str">
            <v>24CS2227F</v>
          </cell>
          <cell r="E670" t="str">
            <v>L</v>
          </cell>
          <cell r="F670" t="str">
            <v>DATA ANALYTICS AND VISUALIZATION</v>
          </cell>
        </row>
        <row r="671">
          <cell r="B671">
            <v>2400030297</v>
          </cell>
          <cell r="C671" t="str">
            <v>GUDIVADA DUNDI SANKAR ABHINASH</v>
          </cell>
          <cell r="D671" t="str">
            <v>24CS2221F</v>
          </cell>
          <cell r="E671" t="str">
            <v>L</v>
          </cell>
          <cell r="F671" t="str">
            <v>UX DESIGN</v>
          </cell>
        </row>
        <row r="672">
          <cell r="B672">
            <v>2400030274</v>
          </cell>
          <cell r="C672" t="str">
            <v>SHAIK TANVEER BASHA</v>
          </cell>
          <cell r="D672" t="str">
            <v>24CS2264F</v>
          </cell>
          <cell r="E672" t="str">
            <v>L</v>
          </cell>
          <cell r="F672" t="str">
            <v>GAME SYSTEMS DESIGN AND DEVELOPMENT</v>
          </cell>
        </row>
        <row r="673">
          <cell r="B673">
            <v>2400030267</v>
          </cell>
          <cell r="C673" t="str">
            <v>SYED  HARSHU</v>
          </cell>
          <cell r="D673" t="str">
            <v>24CS2255F</v>
          </cell>
          <cell r="E673" t="str">
            <v>L</v>
          </cell>
          <cell r="F673" t="str">
            <v>ADVANCED DATA STRUCTURES</v>
          </cell>
        </row>
        <row r="674">
          <cell r="B674">
            <v>2400030264</v>
          </cell>
          <cell r="C674" t="str">
            <v>ATTULURI LALITHA  SIVA PRIYA</v>
          </cell>
          <cell r="D674" t="str">
            <v>24CS2255F</v>
          </cell>
          <cell r="E674" t="str">
            <v>L</v>
          </cell>
          <cell r="F674" t="str">
            <v>ADVANCED DATA STRUCTURES</v>
          </cell>
        </row>
        <row r="675">
          <cell r="B675">
            <v>2400030260</v>
          </cell>
          <cell r="C675" t="str">
            <v>DEVARASETTY DIVYA TEJASWINI</v>
          </cell>
          <cell r="D675" t="str">
            <v>24CS2227F</v>
          </cell>
          <cell r="E675" t="str">
            <v>L</v>
          </cell>
          <cell r="F675" t="str">
            <v>DATA ANALYTICS AND VISUALIZATION</v>
          </cell>
        </row>
        <row r="676">
          <cell r="B676">
            <v>2400030259</v>
          </cell>
          <cell r="C676" t="str">
            <v>YADDALA LAKSHMI PRASANNA</v>
          </cell>
          <cell r="D676" t="str">
            <v>24CS2227F</v>
          </cell>
          <cell r="E676" t="str">
            <v>L</v>
          </cell>
          <cell r="F676" t="str">
            <v>DATA ANALYTICS AND VISUALIZATION</v>
          </cell>
        </row>
        <row r="677">
          <cell r="B677">
            <v>2400030210</v>
          </cell>
          <cell r="C677" t="str">
            <v>KOLAGANI HARSHA  VARDHAN</v>
          </cell>
          <cell r="D677" t="str">
            <v>24CS2239F</v>
          </cell>
          <cell r="E677" t="str">
            <v>L</v>
          </cell>
          <cell r="F677" t="str">
            <v>SOFTWARE VERIFICATION AND VALIDATION</v>
          </cell>
        </row>
        <row r="678">
          <cell r="B678">
            <v>2400030208</v>
          </cell>
          <cell r="C678" t="str">
            <v>MOTAMARRI  DHANUSH</v>
          </cell>
          <cell r="D678" t="str">
            <v>24CS2221F</v>
          </cell>
          <cell r="E678" t="str">
            <v>L</v>
          </cell>
          <cell r="F678" t="str">
            <v>UX DESIGN</v>
          </cell>
        </row>
        <row r="679">
          <cell r="B679">
            <v>2400030207</v>
          </cell>
          <cell r="C679" t="str">
            <v>THANNIRU  ANUSHA</v>
          </cell>
          <cell r="D679" t="str">
            <v>24CS2255F</v>
          </cell>
          <cell r="E679" t="str">
            <v>L</v>
          </cell>
          <cell r="F679" t="str">
            <v>ADVANCED DATA STRUCTURES</v>
          </cell>
        </row>
        <row r="680">
          <cell r="B680">
            <v>2400030204</v>
          </cell>
          <cell r="C680" t="str">
            <v>CHEREDLA BHARATH CHOWDARY</v>
          </cell>
          <cell r="D680" t="str">
            <v>24CS2239F</v>
          </cell>
          <cell r="E680" t="str">
            <v>L</v>
          </cell>
          <cell r="F680" t="str">
            <v>SOFTWARE VERIFICATION AND VALIDATION</v>
          </cell>
        </row>
        <row r="681">
          <cell r="B681">
            <v>2400030196</v>
          </cell>
          <cell r="C681" t="str">
            <v>GHANTA NAGA PRASANTH  BABU</v>
          </cell>
          <cell r="D681" t="str">
            <v>24CS2227F</v>
          </cell>
          <cell r="E681" t="str">
            <v>L</v>
          </cell>
          <cell r="F681" t="str">
            <v>DATA ANALYTICS AND VISUALIZATION</v>
          </cell>
        </row>
        <row r="682">
          <cell r="B682">
            <v>2400030190</v>
          </cell>
          <cell r="C682" t="str">
            <v>ALETI HASINI NAVYA</v>
          </cell>
          <cell r="D682" t="str">
            <v>24CS2239F</v>
          </cell>
          <cell r="E682" t="str">
            <v>L</v>
          </cell>
          <cell r="F682" t="str">
            <v>SOFTWARE VERIFICATION AND VALIDATION</v>
          </cell>
        </row>
        <row r="683">
          <cell r="B683">
            <v>2400030187</v>
          </cell>
          <cell r="C683" t="str">
            <v>KONA NAGA VYSHNAVI</v>
          </cell>
          <cell r="D683" t="str">
            <v>24CS2227F</v>
          </cell>
          <cell r="E683" t="str">
            <v>L</v>
          </cell>
          <cell r="F683" t="str">
            <v>DATA ANALYTICS AND VISUALIZATION</v>
          </cell>
        </row>
        <row r="684">
          <cell r="B684">
            <v>2400030180</v>
          </cell>
          <cell r="C684" t="str">
            <v>KETHIREDDY INDRESH REDDY</v>
          </cell>
          <cell r="D684" t="str">
            <v>24CS2260F</v>
          </cell>
          <cell r="E684" t="str">
            <v>L</v>
          </cell>
          <cell r="F684" t="str">
            <v>FOUNDATIONS OF CLOUD-NATIVE COMPUTING &amp; DEVOPS</v>
          </cell>
        </row>
        <row r="685">
          <cell r="B685">
            <v>2400030152</v>
          </cell>
          <cell r="C685" t="str">
            <v>MADIREDDY  TULASI  TANMAYE</v>
          </cell>
          <cell r="D685" t="str">
            <v>24CS2258F</v>
          </cell>
          <cell r="E685" t="str">
            <v>L</v>
          </cell>
          <cell r="F685" t="str">
            <v>NATURAL LANGUAGE PROCESSING</v>
          </cell>
        </row>
        <row r="686">
          <cell r="B686">
            <v>2400030123</v>
          </cell>
          <cell r="C686" t="str">
            <v>NEKKALAPUDI  SUJAN  DAS</v>
          </cell>
          <cell r="D686" t="str">
            <v>24CS2260F</v>
          </cell>
          <cell r="E686" t="str">
            <v>L</v>
          </cell>
          <cell r="F686" t="str">
            <v>FOUNDATIONS OF CLOUD-NATIVE COMPUTING &amp; DEVOPS</v>
          </cell>
        </row>
        <row r="687">
          <cell r="B687">
            <v>2400030114</v>
          </cell>
          <cell r="C687" t="str">
            <v>ANDEPU  YOGANANDAN</v>
          </cell>
          <cell r="D687" t="str">
            <v>24CS2221F</v>
          </cell>
          <cell r="E687" t="str">
            <v>L</v>
          </cell>
          <cell r="F687" t="str">
            <v>UX DESIGN</v>
          </cell>
        </row>
        <row r="688">
          <cell r="B688">
            <v>2400030113</v>
          </cell>
          <cell r="C688" t="str">
            <v>REGU YUVA  TEJA</v>
          </cell>
          <cell r="D688" t="str">
            <v>24CS2255F</v>
          </cell>
          <cell r="E688" t="str">
            <v>L</v>
          </cell>
          <cell r="F688" t="str">
            <v>ADVANCED DATA STRUCTURES</v>
          </cell>
        </row>
        <row r="689">
          <cell r="B689">
            <v>2400030110</v>
          </cell>
          <cell r="C689" t="str">
            <v>KUNCHARAPU SURYA DEV</v>
          </cell>
          <cell r="D689" t="str">
            <v>24CS2227F</v>
          </cell>
          <cell r="E689" t="str">
            <v>L</v>
          </cell>
          <cell r="F689" t="str">
            <v>DATA ANALYTICS AND VISUALIZATION</v>
          </cell>
        </row>
        <row r="690">
          <cell r="B690">
            <v>2400030104</v>
          </cell>
          <cell r="C690" t="str">
            <v>DHARMIREDDI  ROHITH</v>
          </cell>
          <cell r="D690" t="str">
            <v>24CS2239F</v>
          </cell>
          <cell r="E690" t="str">
            <v>L</v>
          </cell>
          <cell r="F690" t="str">
            <v>SOFTWARE VERIFICATION AND VALIDATION</v>
          </cell>
        </row>
        <row r="691">
          <cell r="B691">
            <v>2400030103</v>
          </cell>
          <cell r="C691" t="str">
            <v>E  YESHWANTH   GOUD</v>
          </cell>
          <cell r="D691" t="str">
            <v>24CS2256F</v>
          </cell>
          <cell r="E691" t="str">
            <v>L</v>
          </cell>
          <cell r="F691" t="str">
            <v>FOUNDATIONS OF BLOCK CHAIN ENGINEERING</v>
          </cell>
        </row>
        <row r="692">
          <cell r="B692">
            <v>2400030096</v>
          </cell>
          <cell r="C692" t="str">
            <v xml:space="preserve">NELLURI VEERABHADRA VINAY </v>
          </cell>
          <cell r="D692" t="str">
            <v>24EE2230F</v>
          </cell>
          <cell r="E692" t="str">
            <v>L</v>
          </cell>
          <cell r="F692" t="str">
            <v>ESSENTIALS OF AUTONOMOUS SYSTEMS</v>
          </cell>
        </row>
        <row r="693">
          <cell r="B693">
            <v>2400030095</v>
          </cell>
          <cell r="C693" t="str">
            <v>VINUKONDA PAVAN  KUMAR</v>
          </cell>
          <cell r="D693" t="str">
            <v>24CS2260F</v>
          </cell>
          <cell r="E693" t="str">
            <v>L</v>
          </cell>
          <cell r="F693" t="str">
            <v>FOUNDATIONS OF CLOUD-NATIVE COMPUTING &amp; DEVOPS</v>
          </cell>
        </row>
        <row r="694">
          <cell r="B694">
            <v>2400030094</v>
          </cell>
          <cell r="C694" t="str">
            <v>PATNALA DURGA RAVI  PRASAD</v>
          </cell>
          <cell r="D694" t="str">
            <v>24CS2255F</v>
          </cell>
          <cell r="E694" t="str">
            <v>L</v>
          </cell>
          <cell r="F694" t="str">
            <v>ADVANCED DATA STRUCTURES</v>
          </cell>
        </row>
        <row r="695">
          <cell r="B695">
            <v>2400030092</v>
          </cell>
          <cell r="C695" t="str">
            <v xml:space="preserve">CHINTALAPATI  SAI SURYA MUKESH VARMA </v>
          </cell>
          <cell r="D695" t="str">
            <v>24CS2239F</v>
          </cell>
          <cell r="E695" t="str">
            <v>L</v>
          </cell>
          <cell r="F695" t="str">
            <v>SOFTWARE VERIFICATION AND VALIDATION</v>
          </cell>
        </row>
        <row r="696">
          <cell r="B696">
            <v>2400030087</v>
          </cell>
          <cell r="C696" t="str">
            <v>ROTTA UMA MAHESH</v>
          </cell>
          <cell r="D696" t="str">
            <v>24CS2224F</v>
          </cell>
          <cell r="E696" t="str">
            <v>L</v>
          </cell>
          <cell r="F696" t="str">
            <v>CRYPT ANALYSIS AND CYBER DEFENCE</v>
          </cell>
        </row>
        <row r="697">
          <cell r="B697">
            <v>2400030061</v>
          </cell>
          <cell r="C697" t="str">
            <v>BANDA  AKHIL</v>
          </cell>
          <cell r="D697" t="str">
            <v>24EE2230F</v>
          </cell>
          <cell r="E697" t="str">
            <v>L</v>
          </cell>
          <cell r="F697" t="str">
            <v>ESSENTIALS OF AUTONOMOUS SYSTEMS</v>
          </cell>
        </row>
        <row r="698">
          <cell r="B698">
            <v>2400030050</v>
          </cell>
          <cell r="C698" t="str">
            <v>SONTENA JNNANA KEERTI ADITYA SAI</v>
          </cell>
          <cell r="D698" t="str">
            <v>24CS2255F</v>
          </cell>
          <cell r="E698" t="str">
            <v>L</v>
          </cell>
          <cell r="F698" t="str">
            <v>ADVANCED DATA STRUCTURES</v>
          </cell>
        </row>
        <row r="699">
          <cell r="B699">
            <v>2400030049</v>
          </cell>
          <cell r="C699" t="str">
            <v>KONDISETTY CHAITANYA SRI SWAMY</v>
          </cell>
          <cell r="D699" t="str">
            <v>24EE2230F</v>
          </cell>
          <cell r="E699" t="str">
            <v>L</v>
          </cell>
          <cell r="F699" t="str">
            <v>ESSENTIALS OF AUTONOMOUS SYSTEMS</v>
          </cell>
        </row>
        <row r="700">
          <cell r="B700">
            <v>2400030043</v>
          </cell>
          <cell r="C700" t="str">
            <v>YENUGUDHATI TEJESH VARMA</v>
          </cell>
          <cell r="D700" t="str">
            <v>24CS2255F</v>
          </cell>
          <cell r="E700" t="str">
            <v>L</v>
          </cell>
          <cell r="F700" t="str">
            <v>ADVANCED DATA STRUCTURES</v>
          </cell>
        </row>
        <row r="701">
          <cell r="B701">
            <v>2400030038</v>
          </cell>
          <cell r="C701" t="str">
            <v>CHINAPOTHULA  VINAY</v>
          </cell>
          <cell r="D701" t="str">
            <v>24CS2221F</v>
          </cell>
          <cell r="E701" t="str">
            <v>L</v>
          </cell>
          <cell r="F701" t="str">
            <v>UX DESIGN</v>
          </cell>
        </row>
        <row r="702">
          <cell r="B702">
            <v>2400030029</v>
          </cell>
          <cell r="C702" t="str">
            <v>GINJALA ARUN  KUMAR</v>
          </cell>
          <cell r="D702" t="str">
            <v>24CS2260F</v>
          </cell>
          <cell r="E702" t="str">
            <v>L</v>
          </cell>
          <cell r="F702" t="str">
            <v>FOUNDATIONS OF CLOUD-NATIVE COMPUTING &amp; DEVOPS</v>
          </cell>
        </row>
        <row r="703">
          <cell r="B703">
            <v>2400030024</v>
          </cell>
          <cell r="C703" t="str">
            <v>JALADI  REVANTH</v>
          </cell>
          <cell r="D703" t="str">
            <v>24CS2255F</v>
          </cell>
          <cell r="E703" t="str">
            <v>L</v>
          </cell>
          <cell r="F703" t="str">
            <v>ADVANCED DATA STRUCTURES</v>
          </cell>
        </row>
        <row r="704">
          <cell r="B704">
            <v>2400030020</v>
          </cell>
          <cell r="C704" t="str">
            <v>YADAMAKANTI NAVANEETH  REDDY</v>
          </cell>
          <cell r="D704" t="str">
            <v>24CS2258F</v>
          </cell>
          <cell r="E704" t="str">
            <v>L</v>
          </cell>
          <cell r="F704" t="str">
            <v>NATURAL LANGUAGE PROCESSING</v>
          </cell>
        </row>
        <row r="705">
          <cell r="B705">
            <v>2400030018</v>
          </cell>
          <cell r="C705" t="str">
            <v>BHIMAVARAPU   ROHITH</v>
          </cell>
          <cell r="D705" t="str">
            <v>24CS2221F</v>
          </cell>
          <cell r="E705" t="str">
            <v>L</v>
          </cell>
          <cell r="F705" t="str">
            <v>UX DESIGN</v>
          </cell>
        </row>
        <row r="706">
          <cell r="B706">
            <v>2400030010</v>
          </cell>
          <cell r="C706" t="str">
            <v>PEDDIREDDY  BHARATH KUMAR</v>
          </cell>
          <cell r="D706" t="str">
            <v>24CS2260F</v>
          </cell>
          <cell r="E706" t="str">
            <v>L</v>
          </cell>
          <cell r="F706" t="str">
            <v>FOUNDATIONS OF CLOUD-NATIVE COMPUTING &amp; DEVOPS</v>
          </cell>
        </row>
        <row r="707">
          <cell r="B707">
            <v>2400010046</v>
          </cell>
          <cell r="C707" t="str">
            <v>GORLA  SAI VARSHA REDDY</v>
          </cell>
          <cell r="D707" t="str">
            <v>24CS2258F</v>
          </cell>
          <cell r="E707" t="str">
            <v>L</v>
          </cell>
          <cell r="F707" t="str">
            <v>NATURAL LANGUAGE PROCESSING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1010-97FE-AE40-8EC5-CD96D5D1496C}">
  <dimension ref="A1:AZ265"/>
  <sheetViews>
    <sheetView topLeftCell="J131" workbookViewId="0">
      <selection activeCell="G199" sqref="G199"/>
    </sheetView>
  </sheetViews>
  <sheetFormatPr baseColWidth="10" defaultColWidth="17.83203125" defaultRowHeight="24" x14ac:dyDescent="0.3"/>
  <cols>
    <col min="1" max="1" width="6.1640625" style="4" customWidth="1"/>
    <col min="2" max="6" width="0" style="4" hidden="1" customWidth="1"/>
    <col min="7" max="7" width="22.5" style="4" customWidth="1"/>
    <col min="8" max="9" width="17.83203125" style="4"/>
    <col min="10" max="10" width="47.6640625" style="4" customWidth="1"/>
    <col min="11" max="12" width="17.83203125" style="4"/>
    <col min="13" max="13" width="17.83203125" style="23"/>
    <col min="14" max="14" width="39.83203125" style="4" customWidth="1"/>
    <col min="15" max="16" width="17.83203125" style="4"/>
    <col min="17" max="17" width="70.5" style="4" bestFit="1" customWidth="1"/>
    <col min="18" max="18" width="30.33203125" style="4" bestFit="1" customWidth="1"/>
    <col min="19" max="19" width="42.1640625" style="4" bestFit="1" customWidth="1"/>
    <col min="20" max="20" width="75.33203125" style="4" bestFit="1" customWidth="1"/>
    <col min="21" max="21" width="29.5" style="4" hidden="1" customWidth="1"/>
    <col min="22" max="22" width="31.83203125" style="4" hidden="1" customWidth="1"/>
    <col min="23" max="24" width="26.6640625" style="4" hidden="1" customWidth="1"/>
    <col min="25" max="25" width="30.6640625" style="4" hidden="1" customWidth="1"/>
    <col min="26" max="26" width="35.33203125" style="4" hidden="1" customWidth="1"/>
    <col min="27" max="27" width="22.6640625" style="4" hidden="1" customWidth="1"/>
    <col min="28" max="28" width="46.1640625" style="4" hidden="1" customWidth="1"/>
    <col min="29" max="30" width="0" style="4" hidden="1" customWidth="1"/>
    <col min="31" max="16384" width="17.83203125" style="4"/>
  </cols>
  <sheetData>
    <row r="1" spans="1:5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8" t="s">
        <v>612</v>
      </c>
      <c r="N1" s="27" t="s">
        <v>626</v>
      </c>
      <c r="O1" s="27" t="s">
        <v>653</v>
      </c>
      <c r="P1" s="27" t="s">
        <v>654</v>
      </c>
      <c r="Q1" s="29" t="s">
        <v>655</v>
      </c>
      <c r="R1" s="29" t="s">
        <v>657</v>
      </c>
      <c r="S1" s="26" t="s">
        <v>658</v>
      </c>
      <c r="T1" s="26" t="s">
        <v>659</v>
      </c>
      <c r="U1" s="4" t="s">
        <v>660</v>
      </c>
      <c r="V1" s="4" t="s">
        <v>663</v>
      </c>
      <c r="W1" s="4" t="s">
        <v>674</v>
      </c>
      <c r="X1" s="4" t="s">
        <v>662</v>
      </c>
      <c r="Y1" s="4" t="s">
        <v>661</v>
      </c>
      <c r="Z1" s="4" t="s">
        <v>661</v>
      </c>
      <c r="AA1" s="4" t="s">
        <v>671</v>
      </c>
      <c r="AB1" s="4" t="s">
        <v>670</v>
      </c>
      <c r="AC1" s="5"/>
      <c r="AD1" s="5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x14ac:dyDescent="0.3">
      <c r="A2" s="6">
        <v>1</v>
      </c>
      <c r="B2" s="7">
        <v>46146.644791666666</v>
      </c>
      <c r="C2" s="7">
        <v>46146.645925925928</v>
      </c>
      <c r="D2" s="8" t="s">
        <v>207</v>
      </c>
      <c r="E2" s="8" t="s">
        <v>208</v>
      </c>
      <c r="F2" s="7"/>
      <c r="G2" s="9">
        <v>2400030812</v>
      </c>
      <c r="H2" s="8" t="s">
        <v>209</v>
      </c>
      <c r="I2" s="8" t="s">
        <v>12</v>
      </c>
      <c r="J2" s="8" t="s">
        <v>21</v>
      </c>
      <c r="K2" s="8" t="s">
        <v>15</v>
      </c>
      <c r="L2" s="8" t="s">
        <v>14</v>
      </c>
      <c r="M2" s="10">
        <v>8.2799999999999994</v>
      </c>
      <c r="N2" s="8" t="s">
        <v>646</v>
      </c>
      <c r="O2" s="11">
        <v>0</v>
      </c>
      <c r="P2" s="12">
        <v>0</v>
      </c>
      <c r="Q2" s="5" t="s">
        <v>615</v>
      </c>
      <c r="R2" s="13" t="s">
        <v>656</v>
      </c>
      <c r="S2" s="5" t="str">
        <f>VLOOKUP(G2,[1]fc!$B$2:$D$707,3,0)</f>
        <v>24CS2255F</v>
      </c>
      <c r="T2" s="5" t="str">
        <f>VLOOKUP(G2,[1]fc!$B$2:$F$707,5,0)</f>
        <v>ADVANCED DATA STRUCTURES</v>
      </c>
      <c r="U2" s="1" t="s">
        <v>664</v>
      </c>
      <c r="V2" s="1" t="s">
        <v>665</v>
      </c>
      <c r="W2" s="1" t="s">
        <v>666</v>
      </c>
      <c r="X2" s="1" t="s">
        <v>667</v>
      </c>
      <c r="Y2" s="14" t="s">
        <v>672</v>
      </c>
      <c r="Z2" s="24" t="s">
        <v>673</v>
      </c>
      <c r="AA2" s="1" t="s">
        <v>675</v>
      </c>
      <c r="AB2" s="1" t="s">
        <v>676</v>
      </c>
      <c r="AC2" s="5"/>
      <c r="AD2" s="5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x14ac:dyDescent="0.3">
      <c r="A3" s="16">
        <v>2</v>
      </c>
      <c r="B3" s="17">
        <v>46146.954131944447</v>
      </c>
      <c r="C3" s="17">
        <v>46146.954826388886</v>
      </c>
      <c r="D3" s="18" t="s">
        <v>282</v>
      </c>
      <c r="E3" s="18" t="s">
        <v>283</v>
      </c>
      <c r="F3" s="17"/>
      <c r="G3" s="19">
        <v>2400031751</v>
      </c>
      <c r="H3" s="18" t="s">
        <v>284</v>
      </c>
      <c r="I3" s="18" t="s">
        <v>12</v>
      </c>
      <c r="J3" s="18" t="s">
        <v>13</v>
      </c>
      <c r="K3" s="18" t="s">
        <v>16</v>
      </c>
      <c r="L3" s="18" t="s">
        <v>14</v>
      </c>
      <c r="M3" s="20">
        <v>8.7899999999999991</v>
      </c>
      <c r="N3" s="18" t="s">
        <v>646</v>
      </c>
      <c r="O3" s="11">
        <v>0</v>
      </c>
      <c r="P3" s="21">
        <v>0</v>
      </c>
      <c r="Q3" s="5" t="s">
        <v>621</v>
      </c>
      <c r="R3" s="13" t="s">
        <v>656</v>
      </c>
      <c r="S3" s="5" t="str">
        <f>VLOOKUP(G3,[1]fc!$B$2:$D$707,3,0)</f>
        <v>24CS2258F</v>
      </c>
      <c r="T3" s="5" t="str">
        <f>VLOOKUP(G3,[1]fc!$B$2:$F$707,5,0)</f>
        <v>NATURAL LANGUAGE PROCESSING</v>
      </c>
      <c r="U3" s="14" t="s">
        <v>664</v>
      </c>
      <c r="V3" s="15" t="s">
        <v>665</v>
      </c>
      <c r="W3" s="15" t="s">
        <v>666</v>
      </c>
      <c r="X3" s="15" t="s">
        <v>667</v>
      </c>
      <c r="Y3" s="15" t="s">
        <v>668</v>
      </c>
      <c r="Z3" s="24" t="s">
        <v>669</v>
      </c>
      <c r="AA3" s="1" t="s">
        <v>672</v>
      </c>
      <c r="AB3" s="1" t="s">
        <v>673</v>
      </c>
      <c r="AC3" s="5"/>
      <c r="AD3" s="5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1:52" x14ac:dyDescent="0.3">
      <c r="A4" s="6">
        <v>3</v>
      </c>
      <c r="B4" s="17">
        <v>46177.482291666667</v>
      </c>
      <c r="C4" s="17">
        <v>46177.48400462963</v>
      </c>
      <c r="D4" s="18" t="s">
        <v>393</v>
      </c>
      <c r="E4" s="18" t="s">
        <v>394</v>
      </c>
      <c r="F4" s="17"/>
      <c r="G4" s="19">
        <v>2400030587</v>
      </c>
      <c r="H4" s="18" t="s">
        <v>395</v>
      </c>
      <c r="I4" s="18" t="s">
        <v>12</v>
      </c>
      <c r="J4" s="18" t="s">
        <v>13</v>
      </c>
      <c r="K4" s="18" t="s">
        <v>15</v>
      </c>
      <c r="L4" s="18" t="s">
        <v>14</v>
      </c>
      <c r="M4" s="20">
        <v>8.75</v>
      </c>
      <c r="N4" s="18" t="s">
        <v>646</v>
      </c>
      <c r="O4" s="11">
        <v>0</v>
      </c>
      <c r="P4" s="21">
        <v>0</v>
      </c>
      <c r="Q4" s="5" t="s">
        <v>622</v>
      </c>
      <c r="R4" s="13" t="s">
        <v>656</v>
      </c>
      <c r="S4" s="5" t="str">
        <f>VLOOKUP(G4,[1]fc!$B$2:$D$707,3,0)</f>
        <v>24CS2255F</v>
      </c>
      <c r="T4" s="5" t="str">
        <f>VLOOKUP(G4,[1]fc!$B$2:$F$707,5,0)</f>
        <v>ADVANCED DATA STRUCTURES</v>
      </c>
      <c r="U4" s="1" t="s">
        <v>664</v>
      </c>
      <c r="V4" s="1" t="s">
        <v>665</v>
      </c>
      <c r="W4" s="1" t="s">
        <v>666</v>
      </c>
      <c r="X4" s="1" t="s">
        <v>667</v>
      </c>
      <c r="Y4" s="1" t="s">
        <v>668</v>
      </c>
      <c r="Z4" s="25" t="s">
        <v>669</v>
      </c>
      <c r="AA4" s="5"/>
      <c r="AB4" s="5"/>
      <c r="AC4" s="5"/>
      <c r="AD4" s="5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x14ac:dyDescent="0.3">
      <c r="A5" s="16">
        <v>4</v>
      </c>
      <c r="B5" s="7">
        <v>46177.953217592592</v>
      </c>
      <c r="C5" s="7">
        <v>46177.95548611111</v>
      </c>
      <c r="D5" s="8" t="s">
        <v>567</v>
      </c>
      <c r="E5" s="8" t="s">
        <v>568</v>
      </c>
      <c r="F5" s="7"/>
      <c r="G5" s="9">
        <v>2400032124</v>
      </c>
      <c r="H5" s="8" t="s">
        <v>569</v>
      </c>
      <c r="I5" s="8" t="s">
        <v>12</v>
      </c>
      <c r="J5" s="8" t="s">
        <v>13</v>
      </c>
      <c r="K5" s="8" t="s">
        <v>16</v>
      </c>
      <c r="L5" s="8" t="s">
        <v>14</v>
      </c>
      <c r="M5" s="10">
        <v>9.1</v>
      </c>
      <c r="N5" s="8" t="s">
        <v>646</v>
      </c>
      <c r="O5" s="11">
        <v>0</v>
      </c>
      <c r="P5" s="12">
        <v>0</v>
      </c>
      <c r="Q5" s="5" t="s">
        <v>621</v>
      </c>
      <c r="R5" s="13" t="s">
        <v>656</v>
      </c>
      <c r="S5" s="5" t="str">
        <f>VLOOKUP(G5,[1]fc!$B$2:$D$707,3,0)</f>
        <v>24CS2258F</v>
      </c>
      <c r="T5" s="5" t="str">
        <f>VLOOKUP(G5,[1]fc!$B$2:$F$707,5,0)</f>
        <v>NATURAL LANGUAGE PROCESSING</v>
      </c>
      <c r="U5" s="14" t="s">
        <v>664</v>
      </c>
      <c r="V5" s="15" t="s">
        <v>665</v>
      </c>
      <c r="W5" s="15" t="s">
        <v>666</v>
      </c>
      <c r="X5" s="15" t="s">
        <v>667</v>
      </c>
      <c r="Y5" s="15" t="s">
        <v>668</v>
      </c>
      <c r="Z5" s="24" t="s">
        <v>669</v>
      </c>
      <c r="AA5" s="1" t="s">
        <v>672</v>
      </c>
      <c r="AB5" s="1" t="s">
        <v>673</v>
      </c>
      <c r="AC5" s="5"/>
      <c r="AD5" s="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x14ac:dyDescent="0.3">
      <c r="A6" s="6">
        <v>5</v>
      </c>
      <c r="B6" s="7">
        <v>46207.021273148152</v>
      </c>
      <c r="C6" s="7">
        <v>46207.023715277777</v>
      </c>
      <c r="D6" s="8" t="s">
        <v>570</v>
      </c>
      <c r="E6" s="8" t="s">
        <v>571</v>
      </c>
      <c r="F6" s="7"/>
      <c r="G6" s="9">
        <v>2400031823</v>
      </c>
      <c r="H6" s="8" t="s">
        <v>572</v>
      </c>
      <c r="I6" s="8" t="s">
        <v>12</v>
      </c>
      <c r="J6" s="8" t="s">
        <v>13</v>
      </c>
      <c r="K6" s="8" t="s">
        <v>16</v>
      </c>
      <c r="L6" s="8" t="s">
        <v>14</v>
      </c>
      <c r="M6" s="10">
        <v>8.8000000000000007</v>
      </c>
      <c r="N6" s="8" t="s">
        <v>646</v>
      </c>
      <c r="O6" s="11">
        <v>0</v>
      </c>
      <c r="P6" s="21">
        <v>0</v>
      </c>
      <c r="Q6" s="5" t="s">
        <v>621</v>
      </c>
      <c r="R6" s="13" t="s">
        <v>656</v>
      </c>
      <c r="S6" s="5" t="str">
        <f>VLOOKUP(G6,[1]fc!$B$2:$D$707,3,0)</f>
        <v>24CS2255F</v>
      </c>
      <c r="T6" s="5" t="str">
        <f>VLOOKUP(G6,[1]fc!$B$2:$F$707,5,0)</f>
        <v>ADVANCED DATA STRUCTURES</v>
      </c>
      <c r="U6" s="14" t="s">
        <v>664</v>
      </c>
      <c r="V6" s="15" t="s">
        <v>665</v>
      </c>
      <c r="W6" s="15" t="s">
        <v>666</v>
      </c>
      <c r="X6" s="15" t="s">
        <v>667</v>
      </c>
      <c r="Y6" s="15" t="s">
        <v>668</v>
      </c>
      <c r="Z6" s="24" t="s">
        <v>669</v>
      </c>
      <c r="AA6" s="1" t="s">
        <v>672</v>
      </c>
      <c r="AB6" s="1" t="s">
        <v>673</v>
      </c>
      <c r="AC6" s="5"/>
      <c r="AD6" s="5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 spans="1:52" x14ac:dyDescent="0.3">
      <c r="A7" s="16">
        <v>6</v>
      </c>
      <c r="B7" s="7">
        <v>46207.863125000003</v>
      </c>
      <c r="C7" s="7">
        <v>46207.863854166666</v>
      </c>
      <c r="D7" s="8" t="s">
        <v>600</v>
      </c>
      <c r="E7" s="8" t="s">
        <v>601</v>
      </c>
      <c r="F7" s="7"/>
      <c r="G7" s="9">
        <v>2400030776</v>
      </c>
      <c r="H7" s="8" t="s">
        <v>602</v>
      </c>
      <c r="I7" s="8" t="s">
        <v>12</v>
      </c>
      <c r="J7" s="8" t="s">
        <v>13</v>
      </c>
      <c r="K7" s="8" t="s">
        <v>15</v>
      </c>
      <c r="L7" s="8" t="s">
        <v>14</v>
      </c>
      <c r="M7" s="10">
        <v>9.06</v>
      </c>
      <c r="N7" s="8" t="s">
        <v>646</v>
      </c>
      <c r="O7" s="11">
        <v>0</v>
      </c>
      <c r="P7" s="21">
        <v>0</v>
      </c>
      <c r="Q7" s="5" t="s">
        <v>613</v>
      </c>
      <c r="R7" s="13" t="s">
        <v>656</v>
      </c>
      <c r="S7" s="5" t="str">
        <f>VLOOKUP(G7,[1]fc!$B$2:$D$707,3,0)</f>
        <v>24CS2224F</v>
      </c>
      <c r="T7" s="5" t="str">
        <f>VLOOKUP(G7,[1]fc!$B$2:$F$707,5,0)</f>
        <v>CRYPT ANALYSIS AND CYBER DEFENCE</v>
      </c>
      <c r="U7" s="14" t="s">
        <v>664</v>
      </c>
      <c r="V7" s="15" t="s">
        <v>665</v>
      </c>
      <c r="W7" s="15" t="s">
        <v>666</v>
      </c>
      <c r="X7" s="15" t="s">
        <v>667</v>
      </c>
      <c r="Y7" s="15" t="s">
        <v>668</v>
      </c>
      <c r="Z7" s="24" t="s">
        <v>669</v>
      </c>
      <c r="AA7" s="1" t="s">
        <v>672</v>
      </c>
      <c r="AB7" s="1" t="s">
        <v>673</v>
      </c>
      <c r="AC7" s="5"/>
      <c r="AD7" s="5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 spans="1:52" x14ac:dyDescent="0.3">
      <c r="A8" s="6">
        <v>7</v>
      </c>
      <c r="B8" s="17">
        <v>46146.895219907405</v>
      </c>
      <c r="C8" s="17">
        <v>46146.89565972222</v>
      </c>
      <c r="D8" s="18" t="s">
        <v>270</v>
      </c>
      <c r="E8" s="18" t="s">
        <v>271</v>
      </c>
      <c r="F8" s="17"/>
      <c r="G8" s="19">
        <v>2400030925</v>
      </c>
      <c r="H8" s="18" t="s">
        <v>272</v>
      </c>
      <c r="I8" s="18" t="s">
        <v>12</v>
      </c>
      <c r="J8" s="18" t="s">
        <v>13</v>
      </c>
      <c r="K8" s="18" t="s">
        <v>16</v>
      </c>
      <c r="L8" s="18" t="s">
        <v>14</v>
      </c>
      <c r="M8" s="20">
        <v>9.35</v>
      </c>
      <c r="N8" s="18" t="s">
        <v>650</v>
      </c>
      <c r="O8" s="11">
        <v>0</v>
      </c>
      <c r="P8" s="21">
        <v>0</v>
      </c>
      <c r="Q8" s="5" t="s">
        <v>613</v>
      </c>
      <c r="R8" s="13" t="s">
        <v>656</v>
      </c>
      <c r="S8" s="5" t="str">
        <f>VLOOKUP(G8,[1]fc!$B$2:$D$707,3,0)</f>
        <v>24CS2224F</v>
      </c>
      <c r="T8" s="5" t="str">
        <f>VLOOKUP(G8,[1]fc!$B$2:$F$707,5,0)</f>
        <v>CRYPT ANALYSIS AND CYBER DEFENCE</v>
      </c>
      <c r="U8" s="14" t="s">
        <v>664</v>
      </c>
      <c r="V8" s="15" t="s">
        <v>665</v>
      </c>
      <c r="W8" s="15" t="s">
        <v>666</v>
      </c>
      <c r="X8" s="15" t="s">
        <v>667</v>
      </c>
      <c r="Y8" s="15" t="s">
        <v>668</v>
      </c>
      <c r="Z8" s="24" t="s">
        <v>669</v>
      </c>
      <c r="AA8" s="1" t="s">
        <v>672</v>
      </c>
      <c r="AB8" s="1" t="s">
        <v>673</v>
      </c>
      <c r="AC8" s="5"/>
      <c r="AD8" s="5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x14ac:dyDescent="0.3">
      <c r="A9" s="16">
        <v>8</v>
      </c>
      <c r="B9" s="7">
        <v>46177.490416666667</v>
      </c>
      <c r="C9" s="7">
        <v>46177.491157407407</v>
      </c>
      <c r="D9" s="8" t="s">
        <v>396</v>
      </c>
      <c r="E9" s="8" t="s">
        <v>397</v>
      </c>
      <c r="F9" s="7"/>
      <c r="G9" s="9">
        <v>2400030274</v>
      </c>
      <c r="H9" s="8" t="s">
        <v>398</v>
      </c>
      <c r="I9" s="8" t="s">
        <v>12</v>
      </c>
      <c r="J9" s="8" t="s">
        <v>13</v>
      </c>
      <c r="K9" s="8" t="s">
        <v>16</v>
      </c>
      <c r="L9" s="8" t="s">
        <v>14</v>
      </c>
      <c r="M9" s="10">
        <v>9.4700000000000006</v>
      </c>
      <c r="N9" s="8" t="s">
        <v>650</v>
      </c>
      <c r="O9" s="11">
        <v>0</v>
      </c>
      <c r="P9" s="21">
        <v>0</v>
      </c>
      <c r="Q9" s="5" t="s">
        <v>613</v>
      </c>
      <c r="R9" s="13" t="s">
        <v>656</v>
      </c>
      <c r="S9" s="5" t="str">
        <f>VLOOKUP(G9,[1]fc!$B$2:$D$707,3,0)</f>
        <v>24CS2264F</v>
      </c>
      <c r="T9" s="5" t="str">
        <f>VLOOKUP(G9,[1]fc!$B$2:$F$707,5,0)</f>
        <v>GAME SYSTEMS DESIGN AND DEVELOPMENT</v>
      </c>
      <c r="U9" s="14" t="s">
        <v>664</v>
      </c>
      <c r="V9" s="15" t="s">
        <v>665</v>
      </c>
      <c r="W9" s="15" t="s">
        <v>666</v>
      </c>
      <c r="X9" s="15" t="s">
        <v>667</v>
      </c>
      <c r="Y9" s="15" t="s">
        <v>668</v>
      </c>
      <c r="Z9" s="24" t="s">
        <v>669</v>
      </c>
      <c r="AA9" s="1" t="s">
        <v>672</v>
      </c>
      <c r="AB9" s="1" t="s">
        <v>673</v>
      </c>
      <c r="AC9" s="5"/>
      <c r="AD9" s="5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 spans="1:52" x14ac:dyDescent="0.3">
      <c r="A10" s="6">
        <v>9</v>
      </c>
      <c r="B10" s="7">
        <v>46146.386064814818</v>
      </c>
      <c r="C10" s="7">
        <v>46146.388854166667</v>
      </c>
      <c r="D10" s="8" t="s">
        <v>57</v>
      </c>
      <c r="E10" s="8" t="s">
        <v>58</v>
      </c>
      <c r="F10" s="7"/>
      <c r="G10" s="9">
        <v>2400030324</v>
      </c>
      <c r="H10" s="8" t="s">
        <v>59</v>
      </c>
      <c r="I10" s="8" t="s">
        <v>12</v>
      </c>
      <c r="J10" s="8" t="s">
        <v>13</v>
      </c>
      <c r="K10" s="8" t="s">
        <v>15</v>
      </c>
      <c r="L10" s="8" t="s">
        <v>14</v>
      </c>
      <c r="M10" s="10">
        <v>9.18</v>
      </c>
      <c r="N10" s="8" t="s">
        <v>636</v>
      </c>
      <c r="O10" s="11">
        <v>0</v>
      </c>
      <c r="P10" s="21">
        <v>0</v>
      </c>
      <c r="Q10" s="5" t="s">
        <v>613</v>
      </c>
      <c r="R10" s="13" t="s">
        <v>656</v>
      </c>
      <c r="S10" s="5" t="str">
        <f>VLOOKUP(G10,[1]fc!$B$2:$D$707,3,0)</f>
        <v>24CS2260F</v>
      </c>
      <c r="T10" s="5" t="str">
        <f>VLOOKUP(G10,[1]fc!$B$2:$F$707,5,0)</f>
        <v>FOUNDATIONS OF CLOUD-NATIVE COMPUTING &amp; DEVOPS</v>
      </c>
      <c r="U10" s="14" t="s">
        <v>664</v>
      </c>
      <c r="V10" s="15" t="s">
        <v>665</v>
      </c>
      <c r="W10" s="15" t="s">
        <v>666</v>
      </c>
      <c r="X10" s="15" t="s">
        <v>667</v>
      </c>
      <c r="Y10" s="15" t="s">
        <v>668</v>
      </c>
      <c r="Z10" s="24" t="s">
        <v>669</v>
      </c>
      <c r="AA10" s="1" t="s">
        <v>672</v>
      </c>
      <c r="AB10" s="1" t="s">
        <v>673</v>
      </c>
      <c r="AC10" s="5"/>
      <c r="AD10" s="5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 spans="1:52" x14ac:dyDescent="0.3">
      <c r="A11" s="16">
        <v>10</v>
      </c>
      <c r="B11" s="17">
        <v>46146.886307870373</v>
      </c>
      <c r="C11" s="17">
        <v>46146.888148148151</v>
      </c>
      <c r="D11" s="18" t="s">
        <v>264</v>
      </c>
      <c r="E11" s="18" t="s">
        <v>265</v>
      </c>
      <c r="F11" s="17"/>
      <c r="G11" s="19">
        <v>2400030312</v>
      </c>
      <c r="H11" s="18" t="s">
        <v>266</v>
      </c>
      <c r="I11" s="18" t="s">
        <v>12</v>
      </c>
      <c r="J11" s="18" t="s">
        <v>13</v>
      </c>
      <c r="K11" s="18" t="s">
        <v>16</v>
      </c>
      <c r="L11" s="18" t="s">
        <v>14</v>
      </c>
      <c r="M11" s="20">
        <v>8.31</v>
      </c>
      <c r="N11" s="18" t="s">
        <v>636</v>
      </c>
      <c r="O11" s="11">
        <v>0</v>
      </c>
      <c r="P11" s="21">
        <v>0</v>
      </c>
      <c r="Q11" s="5" t="s">
        <v>613</v>
      </c>
      <c r="R11" s="13" t="s">
        <v>656</v>
      </c>
      <c r="S11" s="5" t="str">
        <f>VLOOKUP(G11,[1]fc!$B$2:$D$707,3,0)</f>
        <v>24CS2237F</v>
      </c>
      <c r="T11" s="5" t="str">
        <f>VLOOKUP(G11,[1]fc!$B$2:$F$707,5,0)</f>
        <v>QUANTUM COMPUTING</v>
      </c>
      <c r="U11" s="14" t="s">
        <v>664</v>
      </c>
      <c r="V11" s="15" t="s">
        <v>665</v>
      </c>
      <c r="W11" s="15" t="s">
        <v>666</v>
      </c>
      <c r="X11" s="15" t="s">
        <v>667</v>
      </c>
      <c r="Y11" s="15" t="s">
        <v>668</v>
      </c>
      <c r="Z11" s="24" t="s">
        <v>669</v>
      </c>
      <c r="AA11" s="1" t="s">
        <v>672</v>
      </c>
      <c r="AB11" s="1" t="s">
        <v>673</v>
      </c>
      <c r="AC11" s="5"/>
      <c r="AD11" s="5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 x14ac:dyDescent="0.3">
      <c r="A12" s="6">
        <v>11</v>
      </c>
      <c r="B12" s="17">
        <v>46177.447210648148</v>
      </c>
      <c r="C12" s="17">
        <v>46177.44866898148</v>
      </c>
      <c r="D12" s="18" t="s">
        <v>372</v>
      </c>
      <c r="E12" s="18" t="s">
        <v>373</v>
      </c>
      <c r="F12" s="17"/>
      <c r="G12" s="19">
        <v>2400031003</v>
      </c>
      <c r="H12" s="18" t="s">
        <v>374</v>
      </c>
      <c r="I12" s="18" t="s">
        <v>12</v>
      </c>
      <c r="J12" s="18" t="s">
        <v>13</v>
      </c>
      <c r="K12" s="18" t="s">
        <v>15</v>
      </c>
      <c r="L12" s="18" t="s">
        <v>14</v>
      </c>
      <c r="M12" s="20">
        <v>9.02</v>
      </c>
      <c r="N12" s="18" t="s">
        <v>636</v>
      </c>
      <c r="O12" s="11">
        <v>0</v>
      </c>
      <c r="P12" s="12">
        <v>0</v>
      </c>
      <c r="Q12" s="5" t="s">
        <v>622</v>
      </c>
      <c r="R12" s="13" t="s">
        <v>656</v>
      </c>
      <c r="S12" s="5" t="str">
        <f>VLOOKUP(G12,[1]fc!$B$2:$D$707,3,0)</f>
        <v>24CS2239F</v>
      </c>
      <c r="T12" s="5" t="str">
        <f>VLOOKUP(G12,[1]fc!$B$2:$F$707,5,0)</f>
        <v>SOFTWARE VERIFICATION AND VALIDATION</v>
      </c>
      <c r="U12" s="1" t="s">
        <v>664</v>
      </c>
      <c r="V12" s="1" t="s">
        <v>665</v>
      </c>
      <c r="W12" s="1" t="s">
        <v>666</v>
      </c>
      <c r="X12" s="1" t="s">
        <v>667</v>
      </c>
      <c r="Y12" s="1" t="s">
        <v>668</v>
      </c>
      <c r="Z12" s="25" t="s">
        <v>669</v>
      </c>
      <c r="AA12" s="5"/>
      <c r="AB12" s="5"/>
      <c r="AC12" s="5"/>
      <c r="AD12" s="5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 spans="1:52" x14ac:dyDescent="0.3">
      <c r="A13" s="16">
        <v>12</v>
      </c>
      <c r="B13" s="17">
        <v>46177.692013888889</v>
      </c>
      <c r="C13" s="17">
        <v>46177.692372685182</v>
      </c>
      <c r="D13" s="18" t="s">
        <v>513</v>
      </c>
      <c r="E13" s="18" t="s">
        <v>514</v>
      </c>
      <c r="F13" s="17"/>
      <c r="G13" s="19">
        <v>2400030875</v>
      </c>
      <c r="H13" s="18" t="s">
        <v>515</v>
      </c>
      <c r="I13" s="18" t="s">
        <v>12</v>
      </c>
      <c r="J13" s="18" t="s">
        <v>13</v>
      </c>
      <c r="K13" s="18" t="s">
        <v>15</v>
      </c>
      <c r="L13" s="18" t="s">
        <v>14</v>
      </c>
      <c r="M13" s="20">
        <v>8.4499999999999993</v>
      </c>
      <c r="N13" s="18" t="s">
        <v>636</v>
      </c>
      <c r="O13" s="11">
        <v>0</v>
      </c>
      <c r="P13" s="21">
        <v>0</v>
      </c>
      <c r="Q13" s="5" t="s">
        <v>616</v>
      </c>
      <c r="R13" s="13" t="s">
        <v>656</v>
      </c>
      <c r="S13" s="5" t="str">
        <f>VLOOKUP(G13,[1]fc!$B$2:$D$707,3,0)</f>
        <v>24CS2221F</v>
      </c>
      <c r="T13" s="5" t="str">
        <f>VLOOKUP(G13,[1]fc!$B$2:$F$707,5,0)</f>
        <v>UX DESIGN</v>
      </c>
      <c r="U13" s="14" t="s">
        <v>664</v>
      </c>
      <c r="V13" s="15" t="s">
        <v>665</v>
      </c>
      <c r="W13" s="15" t="s">
        <v>666</v>
      </c>
      <c r="X13" s="15" t="s">
        <v>667</v>
      </c>
      <c r="Y13" s="15" t="s">
        <v>668</v>
      </c>
      <c r="Z13" s="24" t="s">
        <v>669</v>
      </c>
      <c r="AA13" s="1" t="s">
        <v>672</v>
      </c>
      <c r="AB13" s="1" t="s">
        <v>673</v>
      </c>
      <c r="AC13" s="5"/>
      <c r="AD13" s="5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x14ac:dyDescent="0.3">
      <c r="A14" s="6">
        <v>13</v>
      </c>
      <c r="B14" s="17">
        <v>46207.907187500001</v>
      </c>
      <c r="C14" s="17">
        <v>46207.908564814818</v>
      </c>
      <c r="D14" s="18" t="s">
        <v>603</v>
      </c>
      <c r="E14" s="18" t="s">
        <v>604</v>
      </c>
      <c r="F14" s="17"/>
      <c r="G14" s="19">
        <v>2400030942</v>
      </c>
      <c r="H14" s="18" t="s">
        <v>605</v>
      </c>
      <c r="I14" s="18" t="s">
        <v>12</v>
      </c>
      <c r="J14" s="18" t="s">
        <v>13</v>
      </c>
      <c r="K14" s="18" t="s">
        <v>16</v>
      </c>
      <c r="L14" s="18" t="s">
        <v>14</v>
      </c>
      <c r="M14" s="20">
        <v>9.18</v>
      </c>
      <c r="N14" s="18" t="s">
        <v>636</v>
      </c>
      <c r="O14" s="11">
        <v>0</v>
      </c>
      <c r="P14" s="12">
        <v>0</v>
      </c>
      <c r="Q14" s="5" t="s">
        <v>616</v>
      </c>
      <c r="R14" s="13" t="s">
        <v>656</v>
      </c>
      <c r="S14" s="5" t="str">
        <f>VLOOKUP(G14,[1]fc!$B$2:$D$707,3,0)</f>
        <v>24CS2221F</v>
      </c>
      <c r="T14" s="5" t="str">
        <f>VLOOKUP(G14,[1]fc!$B$2:$F$707,5,0)</f>
        <v>UX DESIGN</v>
      </c>
      <c r="U14" s="14" t="s">
        <v>664</v>
      </c>
      <c r="V14" s="15" t="s">
        <v>665</v>
      </c>
      <c r="W14" s="15" t="s">
        <v>666</v>
      </c>
      <c r="X14" s="15" t="s">
        <v>667</v>
      </c>
      <c r="Y14" s="15" t="s">
        <v>668</v>
      </c>
      <c r="Z14" s="24" t="s">
        <v>669</v>
      </c>
      <c r="AA14" s="1" t="s">
        <v>672</v>
      </c>
      <c r="AB14" s="1" t="s">
        <v>673</v>
      </c>
      <c r="AC14" s="5"/>
      <c r="AD14" s="5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2" x14ac:dyDescent="0.3">
      <c r="A15" s="16">
        <v>14</v>
      </c>
      <c r="B15" s="17">
        <v>46146.382453703707</v>
      </c>
      <c r="C15" s="17">
        <v>46146.38386574074</v>
      </c>
      <c r="D15" s="18" t="s">
        <v>54</v>
      </c>
      <c r="E15" s="18" t="s">
        <v>55</v>
      </c>
      <c r="F15" s="17"/>
      <c r="G15" s="19">
        <v>2400030563</v>
      </c>
      <c r="H15" s="18" t="s">
        <v>56</v>
      </c>
      <c r="I15" s="18" t="s">
        <v>12</v>
      </c>
      <c r="J15" s="18" t="s">
        <v>13</v>
      </c>
      <c r="K15" s="18" t="s">
        <v>15</v>
      </c>
      <c r="L15" s="18" t="s">
        <v>14</v>
      </c>
      <c r="M15" s="20">
        <v>8</v>
      </c>
      <c r="N15" s="18" t="s">
        <v>635</v>
      </c>
      <c r="O15" s="11">
        <v>0</v>
      </c>
      <c r="P15" s="21">
        <v>0</v>
      </c>
      <c r="Q15" s="5" t="s">
        <v>613</v>
      </c>
      <c r="R15" s="13" t="s">
        <v>656</v>
      </c>
      <c r="S15" s="5" t="str">
        <f>VLOOKUP(G15,[1]fc!$B$2:$D$707,3,0)</f>
        <v>24CS2255F</v>
      </c>
      <c r="T15" s="5" t="str">
        <f>VLOOKUP(G15,[1]fc!$B$2:$F$707,5,0)</f>
        <v>ADVANCED DATA STRUCTURES</v>
      </c>
      <c r="U15" s="14" t="s">
        <v>664</v>
      </c>
      <c r="V15" s="15" t="s">
        <v>665</v>
      </c>
      <c r="W15" s="15" t="s">
        <v>666</v>
      </c>
      <c r="X15" s="15" t="s">
        <v>667</v>
      </c>
      <c r="Y15" s="15" t="s">
        <v>668</v>
      </c>
      <c r="Z15" s="24" t="s">
        <v>669</v>
      </c>
      <c r="AA15" s="1" t="s">
        <v>672</v>
      </c>
      <c r="AB15" s="1" t="s">
        <v>673</v>
      </c>
      <c r="AC15" s="5"/>
      <c r="AD15" s="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x14ac:dyDescent="0.3">
      <c r="A16" s="6">
        <v>15</v>
      </c>
      <c r="B16" s="7">
        <v>46146.491574074076</v>
      </c>
      <c r="C16" s="7">
        <v>46146.492013888892</v>
      </c>
      <c r="D16" s="8" t="s">
        <v>165</v>
      </c>
      <c r="E16" s="8" t="s">
        <v>166</v>
      </c>
      <c r="F16" s="7"/>
      <c r="G16" s="9">
        <v>2400032261</v>
      </c>
      <c r="H16" s="8" t="s">
        <v>167</v>
      </c>
      <c r="I16" s="8" t="s">
        <v>12</v>
      </c>
      <c r="J16" s="8" t="s">
        <v>13</v>
      </c>
      <c r="K16" s="8" t="s">
        <v>16</v>
      </c>
      <c r="L16" s="8" t="s">
        <v>14</v>
      </c>
      <c r="M16" s="10">
        <v>9.18</v>
      </c>
      <c r="N16" s="8" t="s">
        <v>629</v>
      </c>
      <c r="O16" s="11">
        <v>0</v>
      </c>
      <c r="P16" s="21">
        <v>0</v>
      </c>
      <c r="Q16" s="5" t="s">
        <v>621</v>
      </c>
      <c r="R16" s="13" t="s">
        <v>656</v>
      </c>
      <c r="S16" s="5" t="str">
        <f>VLOOKUP(G16,[1]fc!$B$2:$D$707,3,0)</f>
        <v>24CS2260F</v>
      </c>
      <c r="T16" s="5" t="str">
        <f>VLOOKUP(G16,[1]fc!$B$2:$F$707,5,0)</f>
        <v>FOUNDATIONS OF CLOUD-NATIVE COMPUTING &amp; DEVOPS</v>
      </c>
      <c r="U16" s="22" t="s">
        <v>664</v>
      </c>
      <c r="V16" s="22" t="s">
        <v>665</v>
      </c>
      <c r="W16" s="22" t="s">
        <v>666</v>
      </c>
      <c r="X16" s="22" t="s">
        <v>667</v>
      </c>
      <c r="Y16" s="22" t="s">
        <v>668</v>
      </c>
      <c r="Z16" s="22" t="s">
        <v>669</v>
      </c>
      <c r="AA16" s="5"/>
      <c r="AB16" s="5"/>
      <c r="AC16" s="5"/>
      <c r="AD16" s="5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 x14ac:dyDescent="0.3">
      <c r="A17" s="16">
        <v>16</v>
      </c>
      <c r="B17" s="7">
        <v>46146.891006944446</v>
      </c>
      <c r="C17" s="7">
        <v>46146.891481481478</v>
      </c>
      <c r="D17" s="8" t="s">
        <v>267</v>
      </c>
      <c r="E17" s="8" t="s">
        <v>268</v>
      </c>
      <c r="F17" s="7"/>
      <c r="G17" s="9">
        <v>2400031008</v>
      </c>
      <c r="H17" s="8" t="s">
        <v>269</v>
      </c>
      <c r="I17" s="8" t="s">
        <v>12</v>
      </c>
      <c r="J17" s="8" t="s">
        <v>13</v>
      </c>
      <c r="K17" s="8" t="s">
        <v>16</v>
      </c>
      <c r="L17" s="8" t="s">
        <v>14</v>
      </c>
      <c r="M17" s="10">
        <v>8.02</v>
      </c>
      <c r="N17" s="8" t="s">
        <v>635</v>
      </c>
      <c r="O17" s="11">
        <v>0</v>
      </c>
      <c r="P17" s="21">
        <v>0</v>
      </c>
      <c r="Q17" s="5" t="s">
        <v>617</v>
      </c>
      <c r="R17" s="13" t="s">
        <v>656</v>
      </c>
      <c r="S17" s="5" t="str">
        <f>VLOOKUP(G17,[1]fc!$B$2:$D$707,3,0)</f>
        <v>24CS2258F</v>
      </c>
      <c r="T17" s="5" t="str">
        <f>VLOOKUP(G17,[1]fc!$B$2:$F$707,5,0)</f>
        <v>NATURAL LANGUAGE PROCESSING</v>
      </c>
      <c r="U17" s="1" t="s">
        <v>664</v>
      </c>
      <c r="V17" s="1" t="s">
        <v>665</v>
      </c>
      <c r="W17" s="1" t="s">
        <v>666</v>
      </c>
      <c r="X17" s="1" t="s">
        <v>667</v>
      </c>
      <c r="Y17" s="14" t="s">
        <v>672</v>
      </c>
      <c r="Z17" s="24" t="s">
        <v>673</v>
      </c>
      <c r="AA17" s="1" t="s">
        <v>675</v>
      </c>
      <c r="AB17" s="1" t="s">
        <v>676</v>
      </c>
      <c r="AC17" s="5"/>
      <c r="AD17" s="5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 x14ac:dyDescent="0.3">
      <c r="A18" s="6">
        <v>17</v>
      </c>
      <c r="B18" s="7">
        <v>46146.944814814815</v>
      </c>
      <c r="C18" s="7">
        <v>46146.94494212963</v>
      </c>
      <c r="D18" s="8" t="s">
        <v>279</v>
      </c>
      <c r="E18" s="8" t="s">
        <v>280</v>
      </c>
      <c r="F18" s="7"/>
      <c r="G18" s="9">
        <v>2400030866</v>
      </c>
      <c r="H18" s="8" t="s">
        <v>281</v>
      </c>
      <c r="I18" s="8" t="s">
        <v>12</v>
      </c>
      <c r="J18" s="8" t="s">
        <v>13</v>
      </c>
      <c r="K18" s="8" t="s">
        <v>15</v>
      </c>
      <c r="L18" s="8" t="s">
        <v>14</v>
      </c>
      <c r="M18" s="10">
        <v>8.39</v>
      </c>
      <c r="N18" s="8" t="s">
        <v>635</v>
      </c>
      <c r="O18" s="11">
        <v>0</v>
      </c>
      <c r="P18" s="21">
        <v>0</v>
      </c>
      <c r="Q18" s="5" t="s">
        <v>616</v>
      </c>
      <c r="R18" s="13" t="s">
        <v>656</v>
      </c>
      <c r="S18" s="5" t="str">
        <f>VLOOKUP(G18,[1]fc!$B$2:$D$707,3,0)</f>
        <v>24CS2227F</v>
      </c>
      <c r="T18" s="5" t="str">
        <f>VLOOKUP(G18,[1]fc!$B$2:$F$707,5,0)</f>
        <v>DATA ANALYTICS AND VISUALIZATION</v>
      </c>
      <c r="U18" s="14" t="s">
        <v>664</v>
      </c>
      <c r="V18" s="15" t="s">
        <v>665</v>
      </c>
      <c r="W18" s="15" t="s">
        <v>666</v>
      </c>
      <c r="X18" s="15" t="s">
        <v>667</v>
      </c>
      <c r="Y18" s="15" t="s">
        <v>668</v>
      </c>
      <c r="Z18" s="24" t="s">
        <v>669</v>
      </c>
      <c r="AA18" s="1" t="s">
        <v>672</v>
      </c>
      <c r="AB18" s="1" t="s">
        <v>673</v>
      </c>
      <c r="AC18" s="5"/>
      <c r="AD18" s="5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 spans="1:52" x14ac:dyDescent="0.3">
      <c r="A19" s="16">
        <v>18</v>
      </c>
      <c r="B19" s="17">
        <v>46177.316180555557</v>
      </c>
      <c r="C19" s="17">
        <v>46177.316759259258</v>
      </c>
      <c r="D19" s="18" t="s">
        <v>330</v>
      </c>
      <c r="E19" s="18" t="s">
        <v>331</v>
      </c>
      <c r="F19" s="17"/>
      <c r="G19" s="19">
        <v>2400031636</v>
      </c>
      <c r="H19" s="18" t="s">
        <v>332</v>
      </c>
      <c r="I19" s="18" t="s">
        <v>12</v>
      </c>
      <c r="J19" s="18" t="s">
        <v>13</v>
      </c>
      <c r="K19" s="18" t="s">
        <v>15</v>
      </c>
      <c r="L19" s="18" t="s">
        <v>14</v>
      </c>
      <c r="M19" s="20">
        <v>8.84</v>
      </c>
      <c r="N19" s="18" t="s">
        <v>635</v>
      </c>
      <c r="O19" s="11">
        <v>0</v>
      </c>
      <c r="P19" s="21">
        <v>0</v>
      </c>
      <c r="Q19" s="5" t="s">
        <v>615</v>
      </c>
      <c r="R19" s="13" t="s">
        <v>656</v>
      </c>
      <c r="S19" s="5" t="str">
        <f>VLOOKUP(G19,[1]fc!$B$2:$D$707,3,0)</f>
        <v>24CS2258F</v>
      </c>
      <c r="T19" s="5" t="str">
        <f>VLOOKUP(G19,[1]fc!$B$2:$F$707,5,0)</f>
        <v>NATURAL LANGUAGE PROCESSING</v>
      </c>
      <c r="U19" s="1" t="s">
        <v>664</v>
      </c>
      <c r="V19" s="1" t="s">
        <v>665</v>
      </c>
      <c r="W19" s="1" t="s">
        <v>666</v>
      </c>
      <c r="X19" s="1" t="s">
        <v>667</v>
      </c>
      <c r="Y19" s="14" t="s">
        <v>672</v>
      </c>
      <c r="Z19" s="24" t="s">
        <v>673</v>
      </c>
      <c r="AA19" s="1" t="s">
        <v>675</v>
      </c>
      <c r="AB19" s="1" t="s">
        <v>676</v>
      </c>
      <c r="AC19" s="5"/>
      <c r="AD19" s="5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x14ac:dyDescent="0.3">
      <c r="A20" s="6">
        <v>19</v>
      </c>
      <c r="B20" s="7">
        <v>46177.765520833331</v>
      </c>
      <c r="C20" s="7">
        <v>46177.765879629631</v>
      </c>
      <c r="D20" s="8" t="s">
        <v>540</v>
      </c>
      <c r="E20" s="8" t="s">
        <v>541</v>
      </c>
      <c r="F20" s="7"/>
      <c r="G20" s="9">
        <v>2400031312</v>
      </c>
      <c r="H20" s="8" t="s">
        <v>542</v>
      </c>
      <c r="I20" s="8" t="s">
        <v>12</v>
      </c>
      <c r="J20" s="8" t="s">
        <v>13</v>
      </c>
      <c r="K20" s="8" t="s">
        <v>15</v>
      </c>
      <c r="L20" s="8" t="s">
        <v>14</v>
      </c>
      <c r="M20" s="10">
        <v>8.56</v>
      </c>
      <c r="N20" s="8" t="s">
        <v>635</v>
      </c>
      <c r="O20" s="11">
        <v>0</v>
      </c>
      <c r="P20" s="21">
        <v>0</v>
      </c>
      <c r="Q20" s="5" t="s">
        <v>618</v>
      </c>
      <c r="R20" s="13" t="s">
        <v>656</v>
      </c>
      <c r="S20" s="5" t="str">
        <f>VLOOKUP(G20,[1]fc!$B$2:$D$707,3,0)</f>
        <v>24EE2230F</v>
      </c>
      <c r="T20" s="5" t="str">
        <f>VLOOKUP(G20,[1]fc!$B$2:$F$707,5,0)</f>
        <v>ESSENTIALS OF AUTONOMOUS SYSTEMS</v>
      </c>
      <c r="U20" s="14" t="s">
        <v>664</v>
      </c>
      <c r="V20" s="15" t="s">
        <v>665</v>
      </c>
      <c r="W20" s="15" t="s">
        <v>666</v>
      </c>
      <c r="X20" s="15" t="s">
        <v>667</v>
      </c>
      <c r="Y20" s="15" t="s">
        <v>668</v>
      </c>
      <c r="Z20" s="24" t="s">
        <v>669</v>
      </c>
      <c r="AA20" s="1" t="s">
        <v>672</v>
      </c>
      <c r="AB20" s="1" t="s">
        <v>673</v>
      </c>
      <c r="AC20" s="5"/>
      <c r="AD20" s="5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 x14ac:dyDescent="0.3">
      <c r="A21" s="16">
        <v>20</v>
      </c>
      <c r="B21" s="17">
        <v>46207.469398148147</v>
      </c>
      <c r="C21" s="17">
        <v>46207.469872685186</v>
      </c>
      <c r="D21" s="18" t="s">
        <v>582</v>
      </c>
      <c r="E21" s="18" t="s">
        <v>583</v>
      </c>
      <c r="F21" s="17"/>
      <c r="G21" s="19">
        <v>2400030986</v>
      </c>
      <c r="H21" s="18" t="s">
        <v>584</v>
      </c>
      <c r="I21" s="18" t="s">
        <v>12</v>
      </c>
      <c r="J21" s="18" t="s">
        <v>13</v>
      </c>
      <c r="K21" s="18" t="s">
        <v>15</v>
      </c>
      <c r="L21" s="18" t="s">
        <v>14</v>
      </c>
      <c r="M21" s="20">
        <v>8.19</v>
      </c>
      <c r="N21" s="18" t="s">
        <v>635</v>
      </c>
      <c r="O21" s="11">
        <v>0</v>
      </c>
      <c r="P21" s="21">
        <v>0</v>
      </c>
      <c r="Q21" s="5" t="s">
        <v>616</v>
      </c>
      <c r="R21" s="13" t="s">
        <v>656</v>
      </c>
      <c r="S21" s="5" t="str">
        <f>VLOOKUP(G21,[1]fc!$B$2:$D$707,3,0)</f>
        <v>24CS2255F</v>
      </c>
      <c r="T21" s="5" t="str">
        <f>VLOOKUP(G21,[1]fc!$B$2:$F$707,5,0)</f>
        <v>ADVANCED DATA STRUCTURES</v>
      </c>
      <c r="U21" s="14" t="s">
        <v>664</v>
      </c>
      <c r="V21" s="15" t="s">
        <v>665</v>
      </c>
      <c r="W21" s="15" t="s">
        <v>666</v>
      </c>
      <c r="X21" s="15" t="s">
        <v>667</v>
      </c>
      <c r="Y21" s="15" t="s">
        <v>668</v>
      </c>
      <c r="Z21" s="24" t="s">
        <v>669</v>
      </c>
      <c r="AA21" s="1" t="s">
        <v>672</v>
      </c>
      <c r="AB21" s="1" t="s">
        <v>673</v>
      </c>
      <c r="AC21" s="5"/>
      <c r="AD21" s="5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x14ac:dyDescent="0.3">
      <c r="A22" s="6">
        <v>21</v>
      </c>
      <c r="B22" s="17">
        <v>46116.949074074073</v>
      </c>
      <c r="C22" s="17">
        <v>46116.94971064815</v>
      </c>
      <c r="D22" s="18" t="s">
        <v>31</v>
      </c>
      <c r="E22" s="18" t="s">
        <v>32</v>
      </c>
      <c r="F22" s="17"/>
      <c r="G22" s="19">
        <v>2400030264</v>
      </c>
      <c r="H22" s="18" t="s">
        <v>33</v>
      </c>
      <c r="I22" s="18" t="s">
        <v>12</v>
      </c>
      <c r="J22" s="18" t="s">
        <v>13</v>
      </c>
      <c r="K22" s="18" t="s">
        <v>15</v>
      </c>
      <c r="L22" s="18" t="s">
        <v>14</v>
      </c>
      <c r="M22" s="20">
        <v>8.91</v>
      </c>
      <c r="N22" s="18" t="s">
        <v>629</v>
      </c>
      <c r="O22" s="11">
        <v>0</v>
      </c>
      <c r="P22" s="21">
        <v>0</v>
      </c>
      <c r="Q22" s="5" t="s">
        <v>613</v>
      </c>
      <c r="R22" s="13" t="s">
        <v>656</v>
      </c>
      <c r="S22" s="5" t="str">
        <f>VLOOKUP(G22,[1]fc!$B$2:$D$707,3,0)</f>
        <v>24CS2255F</v>
      </c>
      <c r="T22" s="5" t="str">
        <f>VLOOKUP(G22,[1]fc!$B$2:$F$707,5,0)</f>
        <v>ADVANCED DATA STRUCTURES</v>
      </c>
      <c r="U22" s="14" t="s">
        <v>664</v>
      </c>
      <c r="V22" s="15" t="s">
        <v>665</v>
      </c>
      <c r="W22" s="15" t="s">
        <v>666</v>
      </c>
      <c r="X22" s="15" t="s">
        <v>667</v>
      </c>
      <c r="Y22" s="15" t="s">
        <v>668</v>
      </c>
      <c r="Z22" s="24" t="s">
        <v>669</v>
      </c>
      <c r="AA22" s="1" t="s">
        <v>672</v>
      </c>
      <c r="AB22" s="1" t="s">
        <v>673</v>
      </c>
      <c r="AC22" s="5"/>
      <c r="AD22" s="5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 x14ac:dyDescent="0.3">
      <c r="A23" s="16">
        <v>22</v>
      </c>
      <c r="B23" s="7">
        <v>46146.984583333331</v>
      </c>
      <c r="C23" s="7">
        <v>46146.985000000001</v>
      </c>
      <c r="D23" s="8" t="s">
        <v>303</v>
      </c>
      <c r="E23" s="8" t="s">
        <v>304</v>
      </c>
      <c r="F23" s="7"/>
      <c r="G23" s="9">
        <v>2400032478</v>
      </c>
      <c r="H23" s="8" t="s">
        <v>305</v>
      </c>
      <c r="I23" s="8" t="s">
        <v>12</v>
      </c>
      <c r="J23" s="8" t="s">
        <v>13</v>
      </c>
      <c r="K23" s="8" t="s">
        <v>15</v>
      </c>
      <c r="L23" s="8" t="s">
        <v>14</v>
      </c>
      <c r="M23" s="10">
        <v>8.5399999999999991</v>
      </c>
      <c r="N23" s="8" t="s">
        <v>629</v>
      </c>
      <c r="O23" s="11">
        <v>0</v>
      </c>
      <c r="P23" s="12">
        <v>0</v>
      </c>
      <c r="Q23" s="5" t="s">
        <v>621</v>
      </c>
      <c r="R23" s="13" t="s">
        <v>656</v>
      </c>
      <c r="S23" s="5" t="str">
        <f>VLOOKUP(G23,[1]fc!$B$2:$D$707,3,0)</f>
        <v>24CS2255F</v>
      </c>
      <c r="T23" s="5" t="str">
        <f>VLOOKUP(G23,[1]fc!$B$2:$F$707,5,0)</f>
        <v>ADVANCED DATA STRUCTURES</v>
      </c>
      <c r="U23" s="14" t="s">
        <v>664</v>
      </c>
      <c r="V23" s="15" t="s">
        <v>665</v>
      </c>
      <c r="W23" s="15" t="s">
        <v>666</v>
      </c>
      <c r="X23" s="15" t="s">
        <v>667</v>
      </c>
      <c r="Y23" s="15" t="s">
        <v>668</v>
      </c>
      <c r="Z23" s="24" t="s">
        <v>669</v>
      </c>
      <c r="AA23" s="1" t="s">
        <v>672</v>
      </c>
      <c r="AB23" s="1" t="s">
        <v>673</v>
      </c>
      <c r="AC23" s="5"/>
      <c r="AD23" s="5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x14ac:dyDescent="0.3">
      <c r="A24" s="6">
        <v>23</v>
      </c>
      <c r="B24" s="7">
        <v>46146.519224537034</v>
      </c>
      <c r="C24" s="7">
        <v>46146.520543981482</v>
      </c>
      <c r="D24" s="8" t="s">
        <v>174</v>
      </c>
      <c r="E24" s="8" t="s">
        <v>175</v>
      </c>
      <c r="F24" s="7"/>
      <c r="G24" s="9">
        <v>2400032360</v>
      </c>
      <c r="H24" s="8" t="s">
        <v>176</v>
      </c>
      <c r="I24" s="8" t="s">
        <v>12</v>
      </c>
      <c r="J24" s="8" t="s">
        <v>13</v>
      </c>
      <c r="K24" s="8" t="s">
        <v>16</v>
      </c>
      <c r="L24" s="8" t="s">
        <v>14</v>
      </c>
      <c r="M24" s="10">
        <v>9.14</v>
      </c>
      <c r="N24" s="8" t="s">
        <v>629</v>
      </c>
      <c r="O24" s="11">
        <v>0</v>
      </c>
      <c r="P24" s="21">
        <v>0</v>
      </c>
      <c r="Q24" s="5" t="s">
        <v>613</v>
      </c>
      <c r="R24" s="13" t="s">
        <v>656</v>
      </c>
      <c r="S24" s="5" t="str">
        <f>VLOOKUP(G24,[1]fc!$B$2:$D$707,3,0)</f>
        <v>24CS2237F</v>
      </c>
      <c r="T24" s="5" t="str">
        <f>VLOOKUP(G24,[1]fc!$B$2:$F$707,5,0)</f>
        <v>QUANTUM COMPUTING</v>
      </c>
      <c r="U24" s="14" t="s">
        <v>664</v>
      </c>
      <c r="V24" s="15" t="s">
        <v>665</v>
      </c>
      <c r="W24" s="15" t="s">
        <v>666</v>
      </c>
      <c r="X24" s="15" t="s">
        <v>667</v>
      </c>
      <c r="Y24" s="15" t="s">
        <v>668</v>
      </c>
      <c r="Z24" s="24" t="s">
        <v>669</v>
      </c>
      <c r="AA24" s="1" t="s">
        <v>672</v>
      </c>
      <c r="AB24" s="1" t="s">
        <v>673</v>
      </c>
      <c r="AC24" s="5"/>
      <c r="AD24" s="5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x14ac:dyDescent="0.3">
      <c r="A25" s="16">
        <v>24</v>
      </c>
      <c r="B25" s="17">
        <v>46146.973009259258</v>
      </c>
      <c r="C25" s="17">
        <v>46146.975393518522</v>
      </c>
      <c r="D25" s="18" t="s">
        <v>300</v>
      </c>
      <c r="E25" s="18" t="s">
        <v>301</v>
      </c>
      <c r="F25" s="17"/>
      <c r="G25" s="19">
        <v>2400030588</v>
      </c>
      <c r="H25" s="18" t="s">
        <v>302</v>
      </c>
      <c r="I25" s="18" t="s">
        <v>12</v>
      </c>
      <c r="J25" s="18" t="s">
        <v>13</v>
      </c>
      <c r="K25" s="18" t="s">
        <v>15</v>
      </c>
      <c r="L25" s="18" t="s">
        <v>14</v>
      </c>
      <c r="M25" s="20">
        <v>8.85</v>
      </c>
      <c r="N25" s="18" t="s">
        <v>629</v>
      </c>
      <c r="O25" s="11">
        <v>0</v>
      </c>
      <c r="P25" s="12">
        <v>0</v>
      </c>
      <c r="Q25" s="5" t="s">
        <v>613</v>
      </c>
      <c r="R25" s="13" t="s">
        <v>656</v>
      </c>
      <c r="S25" s="5" t="str">
        <f>VLOOKUP(G25,[1]fc!$B$2:$D$707,3,0)</f>
        <v>24CS2258F</v>
      </c>
      <c r="T25" s="5" t="str">
        <f>VLOOKUP(G25,[1]fc!$B$2:$F$707,5,0)</f>
        <v>NATURAL LANGUAGE PROCESSING</v>
      </c>
      <c r="U25" s="14" t="s">
        <v>664</v>
      </c>
      <c r="V25" s="15" t="s">
        <v>665</v>
      </c>
      <c r="W25" s="15" t="s">
        <v>666</v>
      </c>
      <c r="X25" s="15" t="s">
        <v>667</v>
      </c>
      <c r="Y25" s="15" t="s">
        <v>668</v>
      </c>
      <c r="Z25" s="24" t="s">
        <v>669</v>
      </c>
      <c r="AA25" s="1" t="s">
        <v>672</v>
      </c>
      <c r="AB25" s="1" t="s">
        <v>673</v>
      </c>
      <c r="AC25" s="5"/>
      <c r="AD25" s="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x14ac:dyDescent="0.3">
      <c r="A26" s="6">
        <v>25</v>
      </c>
      <c r="B26" s="7">
        <v>46177.600671296299</v>
      </c>
      <c r="C26" s="7">
        <v>46177.602337962962</v>
      </c>
      <c r="D26" s="8" t="s">
        <v>468</v>
      </c>
      <c r="E26" s="8" t="s">
        <v>469</v>
      </c>
      <c r="F26" s="7"/>
      <c r="G26" s="9">
        <v>2400032362</v>
      </c>
      <c r="H26" s="8" t="s">
        <v>470</v>
      </c>
      <c r="I26" s="8" t="s">
        <v>12</v>
      </c>
      <c r="J26" s="8" t="s">
        <v>13</v>
      </c>
      <c r="K26" s="8" t="s">
        <v>16</v>
      </c>
      <c r="L26" s="8" t="s">
        <v>14</v>
      </c>
      <c r="M26" s="10">
        <v>8.68</v>
      </c>
      <c r="N26" s="8" t="s">
        <v>629</v>
      </c>
      <c r="O26" s="11">
        <v>0</v>
      </c>
      <c r="P26" s="21">
        <v>0</v>
      </c>
      <c r="Q26" s="5" t="s">
        <v>621</v>
      </c>
      <c r="R26" s="13" t="s">
        <v>656</v>
      </c>
      <c r="S26" s="5" t="str">
        <f>VLOOKUP(G26,[1]fc!$B$2:$D$707,3,0)</f>
        <v>24CS2227F</v>
      </c>
      <c r="T26" s="5" t="str">
        <f>VLOOKUP(G26,[1]fc!$B$2:$F$707,5,0)</f>
        <v>DATA ANALYTICS AND VISUALIZATION</v>
      </c>
      <c r="U26" s="14" t="s">
        <v>664</v>
      </c>
      <c r="V26" s="15" t="s">
        <v>665</v>
      </c>
      <c r="W26" s="15" t="s">
        <v>666</v>
      </c>
      <c r="X26" s="15" t="s">
        <v>667</v>
      </c>
      <c r="Y26" s="15" t="s">
        <v>668</v>
      </c>
      <c r="Z26" s="24" t="s">
        <v>669</v>
      </c>
      <c r="AA26" s="1" t="s">
        <v>672</v>
      </c>
      <c r="AB26" s="1" t="s">
        <v>673</v>
      </c>
      <c r="AC26" s="5"/>
      <c r="AD26" s="5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2" x14ac:dyDescent="0.3">
      <c r="A27" s="16">
        <v>26</v>
      </c>
      <c r="B27" s="17">
        <v>46177.101111111115</v>
      </c>
      <c r="C27" s="17">
        <v>46177.102094907408</v>
      </c>
      <c r="D27" s="18" t="s">
        <v>321</v>
      </c>
      <c r="E27" s="18" t="s">
        <v>322</v>
      </c>
      <c r="F27" s="17"/>
      <c r="G27" s="19">
        <v>2400031513</v>
      </c>
      <c r="H27" s="18" t="s">
        <v>323</v>
      </c>
      <c r="I27" s="18" t="s">
        <v>12</v>
      </c>
      <c r="J27" s="18" t="s">
        <v>13</v>
      </c>
      <c r="K27" s="18" t="s">
        <v>15</v>
      </c>
      <c r="L27" s="18" t="s">
        <v>14</v>
      </c>
      <c r="M27" s="20">
        <v>8.4</v>
      </c>
      <c r="N27" s="18" t="s">
        <v>629</v>
      </c>
      <c r="O27" s="11">
        <v>0</v>
      </c>
      <c r="P27" s="21">
        <v>0</v>
      </c>
      <c r="Q27" s="5" t="s">
        <v>615</v>
      </c>
      <c r="R27" s="13" t="s">
        <v>656</v>
      </c>
      <c r="S27" s="5" t="str">
        <f>VLOOKUP(G27,[1]fc!$B$2:$D$707,3,0)</f>
        <v>24CS2255F</v>
      </c>
      <c r="T27" s="5" t="str">
        <f>VLOOKUP(G27,[1]fc!$B$2:$F$707,5,0)</f>
        <v>ADVANCED DATA STRUCTURES</v>
      </c>
      <c r="U27" s="1" t="s">
        <v>664</v>
      </c>
      <c r="V27" s="1" t="s">
        <v>665</v>
      </c>
      <c r="W27" s="1" t="s">
        <v>666</v>
      </c>
      <c r="X27" s="1" t="s">
        <v>667</v>
      </c>
      <c r="Y27" s="14" t="s">
        <v>672</v>
      </c>
      <c r="Z27" s="24" t="s">
        <v>673</v>
      </c>
      <c r="AA27" s="1" t="s">
        <v>675</v>
      </c>
      <c r="AB27" s="1" t="s">
        <v>676</v>
      </c>
      <c r="AC27" s="5"/>
      <c r="AD27" s="5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2" x14ac:dyDescent="0.3">
      <c r="A28" s="6">
        <v>27</v>
      </c>
      <c r="B28" s="17">
        <v>46177.56322916667</v>
      </c>
      <c r="C28" s="17">
        <v>46177.565740740742</v>
      </c>
      <c r="D28" s="18" t="s">
        <v>438</v>
      </c>
      <c r="E28" s="18" t="s">
        <v>439</v>
      </c>
      <c r="F28" s="17"/>
      <c r="G28" s="19">
        <v>2400030260</v>
      </c>
      <c r="H28" s="18" t="s">
        <v>440</v>
      </c>
      <c r="I28" s="18" t="s">
        <v>12</v>
      </c>
      <c r="J28" s="18" t="s">
        <v>13</v>
      </c>
      <c r="K28" s="18" t="s">
        <v>15</v>
      </c>
      <c r="L28" s="18" t="s">
        <v>14</v>
      </c>
      <c r="M28" s="20">
        <v>9.1300000000000008</v>
      </c>
      <c r="N28" s="18" t="s">
        <v>629</v>
      </c>
      <c r="O28" s="11">
        <v>0</v>
      </c>
      <c r="P28" s="12">
        <v>0</v>
      </c>
      <c r="Q28" s="5" t="s">
        <v>613</v>
      </c>
      <c r="R28" s="13" t="s">
        <v>656</v>
      </c>
      <c r="S28" s="5" t="str">
        <f>VLOOKUP(G28,[1]fc!$B$2:$D$707,3,0)</f>
        <v>24CS2227F</v>
      </c>
      <c r="T28" s="5" t="str">
        <f>VLOOKUP(G28,[1]fc!$B$2:$F$707,5,0)</f>
        <v>DATA ANALYTICS AND VISUALIZATION</v>
      </c>
      <c r="U28" s="14" t="s">
        <v>664</v>
      </c>
      <c r="V28" s="15" t="s">
        <v>665</v>
      </c>
      <c r="W28" s="15" t="s">
        <v>666</v>
      </c>
      <c r="X28" s="15" t="s">
        <v>667</v>
      </c>
      <c r="Y28" s="15" t="s">
        <v>668</v>
      </c>
      <c r="Z28" s="24" t="s">
        <v>669</v>
      </c>
      <c r="AA28" s="1" t="s">
        <v>672</v>
      </c>
      <c r="AB28" s="1" t="s">
        <v>673</v>
      </c>
      <c r="AC28" s="5"/>
      <c r="AD28" s="5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2" x14ac:dyDescent="0.3">
      <c r="A29" s="16">
        <v>28</v>
      </c>
      <c r="B29" s="7">
        <v>46146.426168981481</v>
      </c>
      <c r="C29" s="7">
        <v>46146.42690972222</v>
      </c>
      <c r="D29" s="8" t="s">
        <v>108</v>
      </c>
      <c r="E29" s="8" t="s">
        <v>109</v>
      </c>
      <c r="F29" s="7"/>
      <c r="G29" s="9">
        <v>2400031255</v>
      </c>
      <c r="H29" s="8" t="s">
        <v>110</v>
      </c>
      <c r="I29" s="8" t="s">
        <v>12</v>
      </c>
      <c r="J29" s="8" t="s">
        <v>13</v>
      </c>
      <c r="K29" s="8" t="s">
        <v>15</v>
      </c>
      <c r="L29" s="8" t="s">
        <v>14</v>
      </c>
      <c r="M29" s="10">
        <v>8.17</v>
      </c>
      <c r="N29" s="8" t="s">
        <v>647</v>
      </c>
      <c r="O29" s="11">
        <v>0</v>
      </c>
      <c r="P29" s="12">
        <v>0</v>
      </c>
      <c r="Q29" s="5" t="s">
        <v>621</v>
      </c>
      <c r="R29" s="13" t="s">
        <v>656</v>
      </c>
      <c r="S29" s="5" t="str">
        <f>VLOOKUP(G29,[1]fc!$B$2:$D$707,3,0)</f>
        <v>24CS2221F</v>
      </c>
      <c r="T29" s="5" t="str">
        <f>VLOOKUP(G29,[1]fc!$B$2:$F$707,5,0)</f>
        <v>UX DESIGN</v>
      </c>
      <c r="U29" s="14" t="s">
        <v>664</v>
      </c>
      <c r="V29" s="15" t="s">
        <v>665</v>
      </c>
      <c r="W29" s="15" t="s">
        <v>666</v>
      </c>
      <c r="X29" s="15" t="s">
        <v>667</v>
      </c>
      <c r="Y29" s="15" t="s">
        <v>668</v>
      </c>
      <c r="Z29" s="24" t="s">
        <v>669</v>
      </c>
      <c r="AA29" s="1" t="s">
        <v>672</v>
      </c>
      <c r="AB29" s="1" t="s">
        <v>673</v>
      </c>
      <c r="AC29" s="5"/>
      <c r="AD29" s="5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 x14ac:dyDescent="0.3">
      <c r="A30" s="6">
        <v>29</v>
      </c>
      <c r="B30" s="17">
        <v>46177.654745370368</v>
      </c>
      <c r="C30" s="17">
        <v>46177.655081018522</v>
      </c>
      <c r="D30" s="18" t="s">
        <v>492</v>
      </c>
      <c r="E30" s="18" t="s">
        <v>493</v>
      </c>
      <c r="F30" s="17"/>
      <c r="G30" s="19">
        <v>2400032443</v>
      </c>
      <c r="H30" s="18" t="s">
        <v>494</v>
      </c>
      <c r="I30" s="18" t="s">
        <v>12</v>
      </c>
      <c r="J30" s="18" t="s">
        <v>13</v>
      </c>
      <c r="K30" s="18" t="s">
        <v>16</v>
      </c>
      <c r="L30" s="18" t="s">
        <v>14</v>
      </c>
      <c r="M30" s="20">
        <v>8.94</v>
      </c>
      <c r="N30" s="18" t="s">
        <v>629</v>
      </c>
      <c r="O30" s="11">
        <v>0</v>
      </c>
      <c r="P30" s="21">
        <v>0</v>
      </c>
      <c r="Q30" s="5" t="s">
        <v>622</v>
      </c>
      <c r="R30" s="13" t="s">
        <v>656</v>
      </c>
      <c r="S30" s="5" t="str">
        <f>VLOOKUP(G30,[1]fc!$B$2:$D$707,3,0)</f>
        <v>24CS2256F</v>
      </c>
      <c r="T30" s="5" t="str">
        <f>VLOOKUP(G30,[1]fc!$B$2:$F$707,5,0)</f>
        <v>FOUNDATIONS OF BLOCK CHAIN ENGINEERING</v>
      </c>
      <c r="U30" s="1" t="s">
        <v>664</v>
      </c>
      <c r="V30" s="1" t="s">
        <v>665</v>
      </c>
      <c r="W30" s="1" t="s">
        <v>666</v>
      </c>
      <c r="X30" s="1" t="s">
        <v>667</v>
      </c>
      <c r="Y30" s="1" t="s">
        <v>668</v>
      </c>
      <c r="Z30" s="25" t="s">
        <v>669</v>
      </c>
      <c r="AA30" s="5"/>
      <c r="AB30" s="5"/>
      <c r="AC30" s="5"/>
      <c r="AD30" s="5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2" x14ac:dyDescent="0.3">
      <c r="A31" s="16">
        <v>30</v>
      </c>
      <c r="B31" s="7">
        <v>46177.665347222224</v>
      </c>
      <c r="C31" s="7">
        <v>46177.666307870371</v>
      </c>
      <c r="D31" s="8" t="s">
        <v>504</v>
      </c>
      <c r="E31" s="8" t="s">
        <v>505</v>
      </c>
      <c r="F31" s="7"/>
      <c r="G31" s="9">
        <v>2400030940</v>
      </c>
      <c r="H31" s="8" t="s">
        <v>506</v>
      </c>
      <c r="I31" s="8" t="s">
        <v>12</v>
      </c>
      <c r="J31" s="8" t="s">
        <v>13</v>
      </c>
      <c r="K31" s="8" t="s">
        <v>15</v>
      </c>
      <c r="L31" s="8" t="s">
        <v>14</v>
      </c>
      <c r="M31" s="10">
        <v>9.0299999999999994</v>
      </c>
      <c r="N31" s="8" t="s">
        <v>629</v>
      </c>
      <c r="O31" s="11">
        <v>0</v>
      </c>
      <c r="P31" s="21">
        <v>0</v>
      </c>
      <c r="Q31" s="5" t="s">
        <v>624</v>
      </c>
      <c r="R31" s="13" t="s">
        <v>656</v>
      </c>
      <c r="S31" s="5" t="str">
        <f>VLOOKUP(G31,[1]fc!$B$2:$D$707,3,0)</f>
        <v>24CS2221F</v>
      </c>
      <c r="T31" s="5" t="str">
        <f>VLOOKUP(G31,[1]fc!$B$2:$F$707,5,0)</f>
        <v>UX DESIGN</v>
      </c>
      <c r="U31" s="14" t="s">
        <v>664</v>
      </c>
      <c r="V31" s="15" t="s">
        <v>665</v>
      </c>
      <c r="W31" s="15" t="s">
        <v>666</v>
      </c>
      <c r="X31" s="15" t="s">
        <v>667</v>
      </c>
      <c r="Y31" s="15" t="s">
        <v>668</v>
      </c>
      <c r="Z31" s="24" t="s">
        <v>669</v>
      </c>
      <c r="AA31" s="1" t="s">
        <v>672</v>
      </c>
      <c r="AB31" s="1" t="s">
        <v>673</v>
      </c>
      <c r="AC31" s="5"/>
      <c r="AD31" s="5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x14ac:dyDescent="0.3">
      <c r="A32" s="6">
        <v>31</v>
      </c>
      <c r="B32" s="17">
        <v>46146.44226851852</v>
      </c>
      <c r="C32" s="17">
        <v>46146.446921296294</v>
      </c>
      <c r="D32" s="18" t="s">
        <v>126</v>
      </c>
      <c r="E32" s="18" t="s">
        <v>127</v>
      </c>
      <c r="F32" s="17"/>
      <c r="G32" s="19">
        <v>2400031531</v>
      </c>
      <c r="H32" s="18" t="s">
        <v>128</v>
      </c>
      <c r="I32" s="18" t="s">
        <v>12</v>
      </c>
      <c r="J32" s="18" t="s">
        <v>13</v>
      </c>
      <c r="K32" s="18" t="s">
        <v>16</v>
      </c>
      <c r="L32" s="18" t="s">
        <v>14</v>
      </c>
      <c r="M32" s="20">
        <v>8.11</v>
      </c>
      <c r="N32" s="18" t="s">
        <v>647</v>
      </c>
      <c r="O32" s="11">
        <v>0</v>
      </c>
      <c r="P32" s="21">
        <v>0</v>
      </c>
      <c r="Q32" s="5" t="s">
        <v>621</v>
      </c>
      <c r="R32" s="13" t="s">
        <v>656</v>
      </c>
      <c r="S32" s="5" t="str">
        <f>VLOOKUP(G32,[1]fc!$B$2:$D$707,3,0)</f>
        <v>24CS2221F</v>
      </c>
      <c r="T32" s="5" t="str">
        <f>VLOOKUP(G32,[1]fc!$B$2:$F$707,5,0)</f>
        <v>UX DESIGN</v>
      </c>
      <c r="U32" s="14" t="s">
        <v>664</v>
      </c>
      <c r="V32" s="15" t="s">
        <v>665</v>
      </c>
      <c r="W32" s="15" t="s">
        <v>666</v>
      </c>
      <c r="X32" s="15" t="s">
        <v>667</v>
      </c>
      <c r="Y32" s="15" t="s">
        <v>668</v>
      </c>
      <c r="Z32" s="24" t="s">
        <v>669</v>
      </c>
      <c r="AA32" s="1" t="s">
        <v>672</v>
      </c>
      <c r="AB32" s="1" t="s">
        <v>673</v>
      </c>
      <c r="AC32" s="5"/>
      <c r="AD32" s="5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:52" x14ac:dyDescent="0.3">
      <c r="A33" s="16">
        <v>32</v>
      </c>
      <c r="B33" s="7">
        <v>46146.442604166667</v>
      </c>
      <c r="C33" s="7">
        <v>46146.443981481483</v>
      </c>
      <c r="D33" s="8" t="s">
        <v>123</v>
      </c>
      <c r="E33" s="8" t="s">
        <v>124</v>
      </c>
      <c r="F33" s="7"/>
      <c r="G33" s="9">
        <v>2400031685</v>
      </c>
      <c r="H33" s="8" t="s">
        <v>125</v>
      </c>
      <c r="I33" s="8" t="s">
        <v>12</v>
      </c>
      <c r="J33" s="8" t="s">
        <v>13</v>
      </c>
      <c r="K33" s="8" t="s">
        <v>16</v>
      </c>
      <c r="L33" s="8" t="s">
        <v>14</v>
      </c>
      <c r="M33" s="10">
        <v>8.4499999999999993</v>
      </c>
      <c r="N33" s="8" t="s">
        <v>637</v>
      </c>
      <c r="O33" s="11">
        <v>0</v>
      </c>
      <c r="P33" s="21">
        <v>0</v>
      </c>
      <c r="Q33" s="5" t="s">
        <v>621</v>
      </c>
      <c r="R33" s="13" t="s">
        <v>656</v>
      </c>
      <c r="S33" s="5" t="str">
        <f>VLOOKUP(G33,[1]fc!$B$2:$D$707,3,0)</f>
        <v>24CS2239F</v>
      </c>
      <c r="T33" s="5" t="str">
        <f>VLOOKUP(G33,[1]fc!$B$2:$F$707,5,0)</f>
        <v>SOFTWARE VERIFICATION AND VALIDATION</v>
      </c>
      <c r="U33" s="14" t="s">
        <v>664</v>
      </c>
      <c r="V33" s="15" t="s">
        <v>665</v>
      </c>
      <c r="W33" s="15" t="s">
        <v>666</v>
      </c>
      <c r="X33" s="15" t="s">
        <v>667</v>
      </c>
      <c r="Y33" s="15" t="s">
        <v>668</v>
      </c>
      <c r="Z33" s="24" t="s">
        <v>669</v>
      </c>
      <c r="AA33" s="1" t="s">
        <v>672</v>
      </c>
      <c r="AB33" s="1" t="s">
        <v>673</v>
      </c>
      <c r="AC33" s="5"/>
      <c r="AD33" s="5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2" x14ac:dyDescent="0.3">
      <c r="A34" s="6">
        <v>33</v>
      </c>
      <c r="B34" s="17">
        <v>46177.385000000002</v>
      </c>
      <c r="C34" s="17">
        <v>46177.385462962964</v>
      </c>
      <c r="D34" s="18" t="s">
        <v>345</v>
      </c>
      <c r="E34" s="18" t="s">
        <v>346</v>
      </c>
      <c r="F34" s="17"/>
      <c r="G34" s="19">
        <v>2400030695</v>
      </c>
      <c r="H34" s="18" t="s">
        <v>347</v>
      </c>
      <c r="I34" s="18" t="s">
        <v>12</v>
      </c>
      <c r="J34" s="18" t="s">
        <v>13</v>
      </c>
      <c r="K34" s="18" t="s">
        <v>16</v>
      </c>
      <c r="L34" s="18" t="s">
        <v>14</v>
      </c>
      <c r="M34" s="20">
        <v>8.64</v>
      </c>
      <c r="N34" s="18" t="s">
        <v>647</v>
      </c>
      <c r="O34" s="11">
        <v>0</v>
      </c>
      <c r="P34" s="12">
        <v>0</v>
      </c>
      <c r="Q34" s="5" t="s">
        <v>617</v>
      </c>
      <c r="R34" s="13" t="s">
        <v>656</v>
      </c>
      <c r="S34" s="5" t="str">
        <f>VLOOKUP(G34,[1]fc!$B$2:$D$707,3,0)</f>
        <v>24CS2258F</v>
      </c>
      <c r="T34" s="5" t="str">
        <f>VLOOKUP(G34,[1]fc!$B$2:$F$707,5,0)</f>
        <v>NATURAL LANGUAGE PROCESSING</v>
      </c>
      <c r="U34" s="1" t="s">
        <v>664</v>
      </c>
      <c r="V34" s="1" t="s">
        <v>665</v>
      </c>
      <c r="W34" s="1" t="s">
        <v>666</v>
      </c>
      <c r="X34" s="1" t="s">
        <v>667</v>
      </c>
      <c r="Y34" s="14" t="s">
        <v>672</v>
      </c>
      <c r="Z34" s="24" t="s">
        <v>673</v>
      </c>
      <c r="AA34" s="1" t="s">
        <v>675</v>
      </c>
      <c r="AB34" s="1" t="s">
        <v>676</v>
      </c>
      <c r="AC34" s="5"/>
      <c r="AD34" s="5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2" x14ac:dyDescent="0.3">
      <c r="A35" s="16">
        <v>34</v>
      </c>
      <c r="B35" s="7">
        <v>46177.540011574078</v>
      </c>
      <c r="C35" s="7">
        <v>46177.540844907409</v>
      </c>
      <c r="D35" s="8" t="s">
        <v>414</v>
      </c>
      <c r="E35" s="8" t="s">
        <v>415</v>
      </c>
      <c r="F35" s="7"/>
      <c r="G35" s="9">
        <v>2400031227</v>
      </c>
      <c r="H35" s="8" t="s">
        <v>416</v>
      </c>
      <c r="I35" s="8" t="s">
        <v>12</v>
      </c>
      <c r="J35" s="8" t="s">
        <v>13</v>
      </c>
      <c r="K35" s="8" t="s">
        <v>15</v>
      </c>
      <c r="L35" s="8" t="s">
        <v>14</v>
      </c>
      <c r="M35" s="10">
        <v>8.86</v>
      </c>
      <c r="N35" s="8" t="s">
        <v>647</v>
      </c>
      <c r="O35" s="11">
        <v>0</v>
      </c>
      <c r="P35" s="21">
        <v>0</v>
      </c>
      <c r="Q35" s="5" t="s">
        <v>616</v>
      </c>
      <c r="R35" s="13" t="s">
        <v>656</v>
      </c>
      <c r="S35" s="5" t="str">
        <f>VLOOKUP(G35,[1]fc!$B$2:$D$707,3,0)</f>
        <v>24CS2255F</v>
      </c>
      <c r="T35" s="5" t="str">
        <f>VLOOKUP(G35,[1]fc!$B$2:$F$707,5,0)</f>
        <v>ADVANCED DATA STRUCTURES</v>
      </c>
      <c r="U35" s="14" t="s">
        <v>664</v>
      </c>
      <c r="V35" s="15" t="s">
        <v>665</v>
      </c>
      <c r="W35" s="15" t="s">
        <v>666</v>
      </c>
      <c r="X35" s="15" t="s">
        <v>667</v>
      </c>
      <c r="Y35" s="15" t="s">
        <v>668</v>
      </c>
      <c r="Z35" s="24" t="s">
        <v>669</v>
      </c>
      <c r="AA35" s="1" t="s">
        <v>672</v>
      </c>
      <c r="AB35" s="1" t="s">
        <v>673</v>
      </c>
      <c r="AC35" s="5"/>
      <c r="AD35" s="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2" x14ac:dyDescent="0.3">
      <c r="A36" s="6">
        <v>35</v>
      </c>
      <c r="B36" s="7">
        <v>46177.562314814815</v>
      </c>
      <c r="C36" s="7">
        <v>46177.564074074071</v>
      </c>
      <c r="D36" s="8" t="s">
        <v>432</v>
      </c>
      <c r="E36" s="8" t="s">
        <v>433</v>
      </c>
      <c r="F36" s="7"/>
      <c r="G36" s="9">
        <v>2400032669</v>
      </c>
      <c r="H36" s="8" t="s">
        <v>434</v>
      </c>
      <c r="I36" s="8" t="s">
        <v>12</v>
      </c>
      <c r="J36" s="8" t="s">
        <v>13</v>
      </c>
      <c r="K36" s="8" t="s">
        <v>15</v>
      </c>
      <c r="L36" s="8" t="s">
        <v>14</v>
      </c>
      <c r="M36" s="10">
        <v>9.11</v>
      </c>
      <c r="N36" s="8" t="s">
        <v>647</v>
      </c>
      <c r="O36" s="11">
        <v>0</v>
      </c>
      <c r="P36" s="21">
        <v>0</v>
      </c>
      <c r="Q36" s="5" t="s">
        <v>616</v>
      </c>
      <c r="R36" s="13" t="s">
        <v>656</v>
      </c>
      <c r="S36" s="5" t="str">
        <f>VLOOKUP(G36,[1]fc!$B$2:$D$707,3,0)</f>
        <v>24CS2258F</v>
      </c>
      <c r="T36" s="5" t="str">
        <f>VLOOKUP(G36,[1]fc!$B$2:$F$707,5,0)</f>
        <v>NATURAL LANGUAGE PROCESSING</v>
      </c>
      <c r="U36" s="14" t="s">
        <v>664</v>
      </c>
      <c r="V36" s="15" t="s">
        <v>665</v>
      </c>
      <c r="W36" s="15" t="s">
        <v>666</v>
      </c>
      <c r="X36" s="15" t="s">
        <v>667</v>
      </c>
      <c r="Y36" s="15" t="s">
        <v>668</v>
      </c>
      <c r="Z36" s="24" t="s">
        <v>669</v>
      </c>
      <c r="AA36" s="1" t="s">
        <v>672</v>
      </c>
      <c r="AB36" s="1" t="s">
        <v>673</v>
      </c>
      <c r="AC36" s="5"/>
      <c r="AD36" s="5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2" x14ac:dyDescent="0.3">
      <c r="A37" s="16">
        <v>36</v>
      </c>
      <c r="B37" s="17">
        <v>46146.389456018522</v>
      </c>
      <c r="C37" s="17">
        <v>46146.389768518522</v>
      </c>
      <c r="D37" s="18" t="s">
        <v>60</v>
      </c>
      <c r="E37" s="18" t="s">
        <v>61</v>
      </c>
      <c r="F37" s="17"/>
      <c r="G37" s="19">
        <v>2400031709</v>
      </c>
      <c r="H37" s="18" t="s">
        <v>62</v>
      </c>
      <c r="I37" s="18" t="s">
        <v>12</v>
      </c>
      <c r="J37" s="18" t="s">
        <v>13</v>
      </c>
      <c r="K37" s="18" t="s">
        <v>16</v>
      </c>
      <c r="L37" s="18" t="s">
        <v>14</v>
      </c>
      <c r="M37" s="20">
        <v>8.18</v>
      </c>
      <c r="N37" s="18" t="s">
        <v>637</v>
      </c>
      <c r="O37" s="11">
        <v>0</v>
      </c>
      <c r="P37" s="21">
        <v>0</v>
      </c>
      <c r="Q37" s="5" t="s">
        <v>618</v>
      </c>
      <c r="R37" s="13" t="s">
        <v>656</v>
      </c>
      <c r="S37" s="5" t="str">
        <f>VLOOKUP(G37,[1]fc!$B$2:$D$707,3,0)</f>
        <v>24EE2230F</v>
      </c>
      <c r="T37" s="5" t="str">
        <f>VLOOKUP(G37,[1]fc!$B$2:$F$707,5,0)</f>
        <v>ESSENTIALS OF AUTONOMOUS SYSTEMS</v>
      </c>
      <c r="U37" s="14" t="s">
        <v>664</v>
      </c>
      <c r="V37" s="15" t="s">
        <v>665</v>
      </c>
      <c r="W37" s="15" t="s">
        <v>666</v>
      </c>
      <c r="X37" s="15" t="s">
        <v>667</v>
      </c>
      <c r="Y37" s="15" t="s">
        <v>668</v>
      </c>
      <c r="Z37" s="24" t="s">
        <v>669</v>
      </c>
      <c r="AA37" s="1" t="s">
        <v>672</v>
      </c>
      <c r="AB37" s="1" t="s">
        <v>673</v>
      </c>
      <c r="AC37" s="5"/>
      <c r="AD37" s="5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2" x14ac:dyDescent="0.3">
      <c r="A38" s="6">
        <v>37</v>
      </c>
      <c r="B38" s="7">
        <v>46146.399965277778</v>
      </c>
      <c r="C38" s="7">
        <v>46146.401087962964</v>
      </c>
      <c r="D38" s="8" t="s">
        <v>75</v>
      </c>
      <c r="E38" s="8" t="s">
        <v>76</v>
      </c>
      <c r="F38" s="7"/>
      <c r="G38" s="9">
        <v>2400030466</v>
      </c>
      <c r="H38" s="8" t="s">
        <v>77</v>
      </c>
      <c r="I38" s="8" t="s">
        <v>12</v>
      </c>
      <c r="J38" s="8" t="s">
        <v>13</v>
      </c>
      <c r="K38" s="8" t="s">
        <v>15</v>
      </c>
      <c r="L38" s="8" t="s">
        <v>14</v>
      </c>
      <c r="M38" s="10">
        <v>8.8800000000000008</v>
      </c>
      <c r="N38" s="8" t="s">
        <v>637</v>
      </c>
      <c r="O38" s="11">
        <v>0</v>
      </c>
      <c r="P38" s="21">
        <v>0</v>
      </c>
      <c r="Q38" s="5" t="s">
        <v>617</v>
      </c>
      <c r="R38" s="13" t="s">
        <v>656</v>
      </c>
      <c r="S38" s="5" t="str">
        <f>VLOOKUP(G38,[1]fc!$B$2:$D$707,3,0)</f>
        <v>24CS2224F</v>
      </c>
      <c r="T38" s="5" t="str">
        <f>VLOOKUP(G38,[1]fc!$B$2:$F$707,5,0)</f>
        <v>CRYPT ANALYSIS AND CYBER DEFENCE</v>
      </c>
      <c r="U38" s="1" t="s">
        <v>664</v>
      </c>
      <c r="V38" s="1" t="s">
        <v>665</v>
      </c>
      <c r="W38" s="1" t="s">
        <v>666</v>
      </c>
      <c r="X38" s="1" t="s">
        <v>667</v>
      </c>
      <c r="Y38" s="14" t="s">
        <v>672</v>
      </c>
      <c r="Z38" s="24" t="s">
        <v>673</v>
      </c>
      <c r="AA38" s="1" t="s">
        <v>675</v>
      </c>
      <c r="AB38" s="1" t="s">
        <v>676</v>
      </c>
      <c r="AC38" s="5"/>
      <c r="AD38" s="5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x14ac:dyDescent="0.3">
      <c r="A39" s="16">
        <v>38</v>
      </c>
      <c r="B39" s="7">
        <v>46146.447581018518</v>
      </c>
      <c r="C39" s="7">
        <v>46146.448379629626</v>
      </c>
      <c r="D39" s="8" t="s">
        <v>129</v>
      </c>
      <c r="E39" s="8" t="s">
        <v>130</v>
      </c>
      <c r="F39" s="7"/>
      <c r="G39" s="9">
        <v>2400031617</v>
      </c>
      <c r="H39" s="8" t="s">
        <v>131</v>
      </c>
      <c r="I39" s="8" t="s">
        <v>12</v>
      </c>
      <c r="J39" s="8" t="s">
        <v>13</v>
      </c>
      <c r="K39" s="8" t="s">
        <v>15</v>
      </c>
      <c r="L39" s="8" t="s">
        <v>14</v>
      </c>
      <c r="M39" s="10">
        <v>8.85</v>
      </c>
      <c r="N39" s="8" t="s">
        <v>637</v>
      </c>
      <c r="O39" s="11">
        <v>0</v>
      </c>
      <c r="P39" s="21">
        <v>0</v>
      </c>
      <c r="Q39" s="5" t="s">
        <v>621</v>
      </c>
      <c r="R39" s="13" t="s">
        <v>656</v>
      </c>
      <c r="S39" s="5" t="str">
        <f>VLOOKUP(G39,[1]fc!$B$2:$D$707,3,0)</f>
        <v>24CS2260F</v>
      </c>
      <c r="T39" s="5" t="str">
        <f>VLOOKUP(G39,[1]fc!$B$2:$F$707,5,0)</f>
        <v>FOUNDATIONS OF CLOUD-NATIVE COMPUTING &amp; DEVOPS</v>
      </c>
      <c r="U39" s="14" t="s">
        <v>664</v>
      </c>
      <c r="V39" s="15" t="s">
        <v>665</v>
      </c>
      <c r="W39" s="15" t="s">
        <v>666</v>
      </c>
      <c r="X39" s="15" t="s">
        <v>667</v>
      </c>
      <c r="Y39" s="15" t="s">
        <v>668</v>
      </c>
      <c r="Z39" s="24" t="s">
        <v>669</v>
      </c>
      <c r="AA39" s="1" t="s">
        <v>672</v>
      </c>
      <c r="AB39" s="1" t="s">
        <v>673</v>
      </c>
      <c r="AC39" s="5"/>
      <c r="AD39" s="5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2" x14ac:dyDescent="0.3">
      <c r="A40" s="6">
        <v>39</v>
      </c>
      <c r="B40" s="7">
        <v>46146.902731481481</v>
      </c>
      <c r="C40" s="7">
        <v>46146.904039351852</v>
      </c>
      <c r="D40" s="8" t="s">
        <v>273</v>
      </c>
      <c r="E40" s="8" t="s">
        <v>274</v>
      </c>
      <c r="F40" s="7"/>
      <c r="G40" s="9">
        <v>2400030916</v>
      </c>
      <c r="H40" s="8" t="s">
        <v>275</v>
      </c>
      <c r="I40" s="8" t="s">
        <v>12</v>
      </c>
      <c r="J40" s="8" t="s">
        <v>13</v>
      </c>
      <c r="K40" s="8" t="s">
        <v>15</v>
      </c>
      <c r="L40" s="8" t="s">
        <v>14</v>
      </c>
      <c r="M40" s="10">
        <v>8.8000000000000007</v>
      </c>
      <c r="N40" s="8" t="s">
        <v>637</v>
      </c>
      <c r="O40" s="11">
        <v>0</v>
      </c>
      <c r="P40" s="21">
        <v>0</v>
      </c>
      <c r="Q40" s="5" t="s">
        <v>621</v>
      </c>
      <c r="R40" s="13" t="s">
        <v>656</v>
      </c>
      <c r="S40" s="5" t="str">
        <f>VLOOKUP(G40,[1]fc!$B$2:$D$707,3,0)</f>
        <v>24CS2255F</v>
      </c>
      <c r="T40" s="5" t="str">
        <f>VLOOKUP(G40,[1]fc!$B$2:$F$707,5,0)</f>
        <v>ADVANCED DATA STRUCTURES</v>
      </c>
      <c r="U40" s="14" t="s">
        <v>664</v>
      </c>
      <c r="V40" s="15" t="s">
        <v>665</v>
      </c>
      <c r="W40" s="15" t="s">
        <v>666</v>
      </c>
      <c r="X40" s="15" t="s">
        <v>667</v>
      </c>
      <c r="Y40" s="15" t="s">
        <v>668</v>
      </c>
      <c r="Z40" s="24" t="s">
        <v>669</v>
      </c>
      <c r="AA40" s="1" t="s">
        <v>672</v>
      </c>
      <c r="AB40" s="1" t="s">
        <v>673</v>
      </c>
      <c r="AC40" s="5"/>
      <c r="AD40" s="5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2" x14ac:dyDescent="0.3">
      <c r="A41" s="16">
        <v>40</v>
      </c>
      <c r="B41" s="7">
        <v>46146.449652777781</v>
      </c>
      <c r="C41" s="7">
        <v>46146.450671296298</v>
      </c>
      <c r="D41" s="8" t="s">
        <v>135</v>
      </c>
      <c r="E41" s="8" t="s">
        <v>136</v>
      </c>
      <c r="F41" s="7"/>
      <c r="G41" s="9">
        <v>2400032281</v>
      </c>
      <c r="H41" s="8" t="s">
        <v>137</v>
      </c>
      <c r="I41" s="8" t="s">
        <v>12</v>
      </c>
      <c r="J41" s="8" t="s">
        <v>13</v>
      </c>
      <c r="K41" s="8" t="s">
        <v>16</v>
      </c>
      <c r="L41" s="8" t="s">
        <v>14</v>
      </c>
      <c r="M41" s="10">
        <v>8.75</v>
      </c>
      <c r="N41" s="8" t="s">
        <v>637</v>
      </c>
      <c r="O41" s="11">
        <v>0</v>
      </c>
      <c r="P41" s="21">
        <v>0</v>
      </c>
      <c r="Q41" s="5" t="s">
        <v>615</v>
      </c>
      <c r="R41" s="13" t="s">
        <v>656</v>
      </c>
      <c r="S41" s="5" t="str">
        <f>VLOOKUP(G41,[1]fc!$B$2:$D$707,3,0)</f>
        <v>24CS2221F</v>
      </c>
      <c r="T41" s="5" t="str">
        <f>VLOOKUP(G41,[1]fc!$B$2:$F$707,5,0)</f>
        <v>UX DESIGN</v>
      </c>
      <c r="U41" s="1" t="s">
        <v>664</v>
      </c>
      <c r="V41" s="1" t="s">
        <v>665</v>
      </c>
      <c r="W41" s="1" t="s">
        <v>666</v>
      </c>
      <c r="X41" s="1" t="s">
        <v>667</v>
      </c>
      <c r="Y41" s="14" t="s">
        <v>672</v>
      </c>
      <c r="Z41" s="24" t="s">
        <v>673</v>
      </c>
      <c r="AA41" s="1" t="s">
        <v>675</v>
      </c>
      <c r="AB41" s="1" t="s">
        <v>676</v>
      </c>
      <c r="AC41" s="5"/>
      <c r="AD41" s="5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2" x14ac:dyDescent="0.3">
      <c r="A42" s="6">
        <v>41</v>
      </c>
      <c r="B42" s="7">
        <v>46177.082372685189</v>
      </c>
      <c r="C42" s="7">
        <v>46177.082592592589</v>
      </c>
      <c r="D42" s="8" t="s">
        <v>318</v>
      </c>
      <c r="E42" s="8" t="s">
        <v>319</v>
      </c>
      <c r="F42" s="7"/>
      <c r="G42" s="9">
        <v>2400032056</v>
      </c>
      <c r="H42" s="8" t="s">
        <v>320</v>
      </c>
      <c r="I42" s="8" t="s">
        <v>12</v>
      </c>
      <c r="J42" s="8" t="s">
        <v>13</v>
      </c>
      <c r="K42" s="8" t="s">
        <v>16</v>
      </c>
      <c r="L42" s="8" t="s">
        <v>14</v>
      </c>
      <c r="M42" s="10">
        <v>8.4</v>
      </c>
      <c r="N42" s="8" t="s">
        <v>637</v>
      </c>
      <c r="O42" s="11">
        <v>0</v>
      </c>
      <c r="P42" s="21">
        <v>0</v>
      </c>
      <c r="Q42" s="5" t="s">
        <v>621</v>
      </c>
      <c r="R42" s="13" t="s">
        <v>656</v>
      </c>
      <c r="S42" s="5" t="str">
        <f>VLOOKUP(G42,[1]fc!$B$2:$D$707,3,0)</f>
        <v>24CS2258F</v>
      </c>
      <c r="T42" s="5" t="str">
        <f>VLOOKUP(G42,[1]fc!$B$2:$F$707,5,0)</f>
        <v>NATURAL LANGUAGE PROCESSING</v>
      </c>
      <c r="U42" s="22" t="s">
        <v>664</v>
      </c>
      <c r="V42" s="22" t="s">
        <v>665</v>
      </c>
      <c r="W42" s="22" t="s">
        <v>666</v>
      </c>
      <c r="X42" s="22" t="s">
        <v>667</v>
      </c>
      <c r="Y42" s="22" t="s">
        <v>668</v>
      </c>
      <c r="Z42" s="22" t="s">
        <v>669</v>
      </c>
      <c r="AA42" s="5"/>
      <c r="AB42" s="5"/>
      <c r="AC42" s="5"/>
      <c r="AD42" s="5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1:52" x14ac:dyDescent="0.3">
      <c r="A43" s="16">
        <v>42</v>
      </c>
      <c r="B43" s="7">
        <v>46146.555520833332</v>
      </c>
      <c r="C43" s="7">
        <v>46146.556203703702</v>
      </c>
      <c r="D43" s="8" t="s">
        <v>186</v>
      </c>
      <c r="E43" s="8" t="s">
        <v>187</v>
      </c>
      <c r="F43" s="7"/>
      <c r="G43" s="9">
        <v>2400030819</v>
      </c>
      <c r="H43" s="8" t="s">
        <v>188</v>
      </c>
      <c r="I43" s="8" t="s">
        <v>12</v>
      </c>
      <c r="J43" s="8" t="s">
        <v>13</v>
      </c>
      <c r="K43" s="8" t="s">
        <v>15</v>
      </c>
      <c r="L43" s="8" t="s">
        <v>14</v>
      </c>
      <c r="M43" s="10">
        <v>8.73</v>
      </c>
      <c r="N43" s="8" t="s">
        <v>637</v>
      </c>
      <c r="O43" s="11">
        <v>0</v>
      </c>
      <c r="P43" s="12">
        <v>0</v>
      </c>
      <c r="Q43" s="5" t="s">
        <v>616</v>
      </c>
      <c r="R43" s="13" t="s">
        <v>656</v>
      </c>
      <c r="S43" s="5" t="str">
        <f>VLOOKUP(G43,[1]fc!$B$2:$D$707,3,0)</f>
        <v>24CS2255F</v>
      </c>
      <c r="T43" s="5" t="str">
        <f>VLOOKUP(G43,[1]fc!$B$2:$F$707,5,0)</f>
        <v>ADVANCED DATA STRUCTURES</v>
      </c>
      <c r="U43" s="14" t="s">
        <v>664</v>
      </c>
      <c r="V43" s="15" t="s">
        <v>665</v>
      </c>
      <c r="W43" s="15" t="s">
        <v>666</v>
      </c>
      <c r="X43" s="15" t="s">
        <v>667</v>
      </c>
      <c r="Y43" s="15" t="s">
        <v>668</v>
      </c>
      <c r="Z43" s="24" t="s">
        <v>669</v>
      </c>
      <c r="AA43" s="1" t="s">
        <v>672</v>
      </c>
      <c r="AB43" s="1" t="s">
        <v>673</v>
      </c>
      <c r="AC43" s="5"/>
      <c r="AD43" s="5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 spans="1:52" x14ac:dyDescent="0.3">
      <c r="A44" s="6">
        <v>43</v>
      </c>
      <c r="B44" s="17">
        <v>46146.555891203701</v>
      </c>
      <c r="C44" s="17">
        <v>46146.556435185186</v>
      </c>
      <c r="D44" s="18" t="s">
        <v>189</v>
      </c>
      <c r="E44" s="18" t="s">
        <v>190</v>
      </c>
      <c r="F44" s="17"/>
      <c r="G44" s="19">
        <v>2400031013</v>
      </c>
      <c r="H44" s="18" t="s">
        <v>191</v>
      </c>
      <c r="I44" s="18" t="s">
        <v>12</v>
      </c>
      <c r="J44" s="18" t="s">
        <v>13</v>
      </c>
      <c r="K44" s="18" t="s">
        <v>15</v>
      </c>
      <c r="L44" s="18" t="s">
        <v>14</v>
      </c>
      <c r="M44" s="20">
        <v>8.34</v>
      </c>
      <c r="N44" s="18" t="s">
        <v>637</v>
      </c>
      <c r="O44" s="11">
        <v>0</v>
      </c>
      <c r="P44" s="21">
        <v>0</v>
      </c>
      <c r="Q44" s="5" t="s">
        <v>616</v>
      </c>
      <c r="R44" s="13" t="s">
        <v>656</v>
      </c>
      <c r="S44" s="5" t="str">
        <f>VLOOKUP(G44,[1]fc!$B$2:$D$707,3,0)</f>
        <v>24CS2227F</v>
      </c>
      <c r="T44" s="5" t="str">
        <f>VLOOKUP(G44,[1]fc!$B$2:$F$707,5,0)</f>
        <v>DATA ANALYTICS AND VISUALIZATION</v>
      </c>
      <c r="U44" s="14" t="s">
        <v>664</v>
      </c>
      <c r="V44" s="15" t="s">
        <v>665</v>
      </c>
      <c r="W44" s="15" t="s">
        <v>666</v>
      </c>
      <c r="X44" s="15" t="s">
        <v>667</v>
      </c>
      <c r="Y44" s="15" t="s">
        <v>668</v>
      </c>
      <c r="Z44" s="24" t="s">
        <v>669</v>
      </c>
      <c r="AA44" s="1" t="s">
        <v>672</v>
      </c>
      <c r="AB44" s="1" t="s">
        <v>673</v>
      </c>
      <c r="AC44" s="5"/>
      <c r="AD44" s="5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2" x14ac:dyDescent="0.3">
      <c r="A45" s="16">
        <v>44</v>
      </c>
      <c r="B45" s="17">
        <v>46146.875567129631</v>
      </c>
      <c r="C45" s="17">
        <v>46146.876319444447</v>
      </c>
      <c r="D45" s="18" t="s">
        <v>258</v>
      </c>
      <c r="E45" s="18" t="s">
        <v>259</v>
      </c>
      <c r="F45" s="17"/>
      <c r="G45" s="19">
        <v>2400030715</v>
      </c>
      <c r="H45" s="18" t="s">
        <v>260</v>
      </c>
      <c r="I45" s="18" t="s">
        <v>12</v>
      </c>
      <c r="J45" s="18" t="s">
        <v>13</v>
      </c>
      <c r="K45" s="18" t="s">
        <v>15</v>
      </c>
      <c r="L45" s="18" t="s">
        <v>14</v>
      </c>
      <c r="M45" s="20">
        <v>8.18</v>
      </c>
      <c r="N45" s="18" t="s">
        <v>637</v>
      </c>
      <c r="O45" s="11">
        <v>0</v>
      </c>
      <c r="P45" s="21">
        <v>0</v>
      </c>
      <c r="Q45" s="5" t="s">
        <v>616</v>
      </c>
      <c r="R45" s="13" t="s">
        <v>656</v>
      </c>
      <c r="S45" s="5" t="str">
        <f>VLOOKUP(G45,[1]fc!$B$2:$D$707,3,0)</f>
        <v>24CS2255F</v>
      </c>
      <c r="T45" s="5" t="str">
        <f>VLOOKUP(G45,[1]fc!$B$2:$F$707,5,0)</f>
        <v>ADVANCED DATA STRUCTURES</v>
      </c>
      <c r="U45" s="14" t="s">
        <v>664</v>
      </c>
      <c r="V45" s="15" t="s">
        <v>665</v>
      </c>
      <c r="W45" s="15" t="s">
        <v>666</v>
      </c>
      <c r="X45" s="15" t="s">
        <v>667</v>
      </c>
      <c r="Y45" s="15" t="s">
        <v>668</v>
      </c>
      <c r="Z45" s="24" t="s">
        <v>669</v>
      </c>
      <c r="AA45" s="1" t="s">
        <v>672</v>
      </c>
      <c r="AB45" s="1" t="s">
        <v>673</v>
      </c>
      <c r="AC45" s="5"/>
      <c r="AD45" s="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 spans="1:52" x14ac:dyDescent="0.3">
      <c r="A46" s="6">
        <v>45</v>
      </c>
      <c r="B46" s="7">
        <v>46177.531851851854</v>
      </c>
      <c r="C46" s="7">
        <v>46177.532361111109</v>
      </c>
      <c r="D46" s="8" t="s">
        <v>408</v>
      </c>
      <c r="E46" s="8" t="s">
        <v>409</v>
      </c>
      <c r="F46" s="7"/>
      <c r="G46" s="9">
        <v>2400032273</v>
      </c>
      <c r="H46" s="8" t="s">
        <v>410</v>
      </c>
      <c r="I46" s="8" t="s">
        <v>12</v>
      </c>
      <c r="J46" s="8" t="s">
        <v>13</v>
      </c>
      <c r="K46" s="8" t="s">
        <v>16</v>
      </c>
      <c r="L46" s="8" t="s">
        <v>14</v>
      </c>
      <c r="M46" s="10">
        <v>8.35</v>
      </c>
      <c r="N46" s="8" t="s">
        <v>637</v>
      </c>
      <c r="O46" s="11">
        <v>0</v>
      </c>
      <c r="P46" s="21">
        <v>0</v>
      </c>
      <c r="Q46" s="5" t="s">
        <v>621</v>
      </c>
      <c r="R46" s="13" t="s">
        <v>656</v>
      </c>
      <c r="S46" s="5" t="str">
        <f>VLOOKUP(G46,[1]fc!$B$2:$D$707,3,0)</f>
        <v>24CS2255F</v>
      </c>
      <c r="T46" s="5" t="str">
        <f>VLOOKUP(G46,[1]fc!$B$2:$F$707,5,0)</f>
        <v>ADVANCED DATA STRUCTURES</v>
      </c>
      <c r="U46" s="14" t="s">
        <v>664</v>
      </c>
      <c r="V46" s="15" t="s">
        <v>665</v>
      </c>
      <c r="W46" s="15" t="s">
        <v>666</v>
      </c>
      <c r="X46" s="15" t="s">
        <v>667</v>
      </c>
      <c r="Y46" s="15" t="s">
        <v>668</v>
      </c>
      <c r="Z46" s="24" t="s">
        <v>669</v>
      </c>
      <c r="AA46" s="1" t="s">
        <v>672</v>
      </c>
      <c r="AB46" s="1" t="s">
        <v>673</v>
      </c>
      <c r="AC46" s="5"/>
      <c r="AD46" s="5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2" x14ac:dyDescent="0.3">
      <c r="A47" s="16">
        <v>46</v>
      </c>
      <c r="B47" s="7">
        <v>46177.708495370367</v>
      </c>
      <c r="C47" s="7">
        <v>46177.710335648146</v>
      </c>
      <c r="D47" s="8" t="s">
        <v>519</v>
      </c>
      <c r="E47" s="8" t="s">
        <v>520</v>
      </c>
      <c r="F47" s="7"/>
      <c r="G47" s="9">
        <v>2400032053</v>
      </c>
      <c r="H47" s="8" t="s">
        <v>521</v>
      </c>
      <c r="I47" s="8" t="s">
        <v>12</v>
      </c>
      <c r="J47" s="8" t="s">
        <v>13</v>
      </c>
      <c r="K47" s="8" t="s">
        <v>16</v>
      </c>
      <c r="L47" s="8" t="s">
        <v>14</v>
      </c>
      <c r="M47" s="10">
        <v>8.6300000000000008</v>
      </c>
      <c r="N47" s="8" t="s">
        <v>637</v>
      </c>
      <c r="O47" s="11">
        <v>0</v>
      </c>
      <c r="P47" s="21">
        <v>0</v>
      </c>
      <c r="Q47" s="5" t="s">
        <v>621</v>
      </c>
      <c r="R47" s="13" t="s">
        <v>656</v>
      </c>
      <c r="S47" s="5" t="str">
        <f>VLOOKUP(G47,[1]fc!$B$2:$D$707,3,0)</f>
        <v>24CS2227F</v>
      </c>
      <c r="T47" s="5" t="str">
        <f>VLOOKUP(G47,[1]fc!$B$2:$F$707,5,0)</f>
        <v>DATA ANALYTICS AND VISUALIZATION</v>
      </c>
      <c r="U47" s="14" t="s">
        <v>664</v>
      </c>
      <c r="V47" s="15" t="s">
        <v>665</v>
      </c>
      <c r="W47" s="15" t="s">
        <v>666</v>
      </c>
      <c r="X47" s="15" t="s">
        <v>667</v>
      </c>
      <c r="Y47" s="15" t="s">
        <v>668</v>
      </c>
      <c r="Z47" s="24" t="s">
        <v>669</v>
      </c>
      <c r="AA47" s="1" t="s">
        <v>672</v>
      </c>
      <c r="AB47" s="1" t="s">
        <v>673</v>
      </c>
      <c r="AC47" s="5"/>
      <c r="AD47" s="5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1:52" x14ac:dyDescent="0.3">
      <c r="A48" s="6">
        <v>47</v>
      </c>
      <c r="B48" s="7">
        <v>46177.243645833332</v>
      </c>
      <c r="C48" s="7">
        <v>46177.244421296295</v>
      </c>
      <c r="D48" s="8" t="s">
        <v>324</v>
      </c>
      <c r="E48" s="8" t="s">
        <v>325</v>
      </c>
      <c r="F48" s="7"/>
      <c r="G48" s="9">
        <v>2400030818</v>
      </c>
      <c r="H48" s="8" t="s">
        <v>326</v>
      </c>
      <c r="I48" s="8" t="s">
        <v>12</v>
      </c>
      <c r="J48" s="8" t="s">
        <v>13</v>
      </c>
      <c r="K48" s="8" t="s">
        <v>15</v>
      </c>
      <c r="L48" s="8" t="s">
        <v>14</v>
      </c>
      <c r="M48" s="10">
        <v>8.32</v>
      </c>
      <c r="N48" s="8" t="s">
        <v>637</v>
      </c>
      <c r="O48" s="11">
        <v>0</v>
      </c>
      <c r="P48" s="21">
        <v>0</v>
      </c>
      <c r="Q48" s="5" t="s">
        <v>613</v>
      </c>
      <c r="R48" s="13" t="s">
        <v>656</v>
      </c>
      <c r="S48" s="5" t="str">
        <f>VLOOKUP(G48,[1]fc!$B$2:$D$707,3,0)</f>
        <v>24CS2237F</v>
      </c>
      <c r="T48" s="5" t="str">
        <f>VLOOKUP(G48,[1]fc!$B$2:$F$707,5,0)</f>
        <v>QUANTUM COMPUTING</v>
      </c>
      <c r="U48" s="14" t="s">
        <v>664</v>
      </c>
      <c r="V48" s="15" t="s">
        <v>665</v>
      </c>
      <c r="W48" s="15" t="s">
        <v>666</v>
      </c>
      <c r="X48" s="15" t="s">
        <v>667</v>
      </c>
      <c r="Y48" s="15" t="s">
        <v>668</v>
      </c>
      <c r="Z48" s="24" t="s">
        <v>669</v>
      </c>
      <c r="AA48" s="1" t="s">
        <v>672</v>
      </c>
      <c r="AB48" s="1" t="s">
        <v>673</v>
      </c>
      <c r="AC48" s="5"/>
      <c r="AD48" s="5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1:52" x14ac:dyDescent="0.3">
      <c r="A49" s="16">
        <v>48</v>
      </c>
      <c r="B49" s="7">
        <v>46177.445937500001</v>
      </c>
      <c r="C49" s="7">
        <v>46177.447118055556</v>
      </c>
      <c r="D49" s="8" t="s">
        <v>369</v>
      </c>
      <c r="E49" s="8" t="s">
        <v>370</v>
      </c>
      <c r="F49" s="7"/>
      <c r="G49" s="9">
        <v>2400031816</v>
      </c>
      <c r="H49" s="8" t="s">
        <v>371</v>
      </c>
      <c r="I49" s="8" t="s">
        <v>12</v>
      </c>
      <c r="J49" s="8" t="s">
        <v>13</v>
      </c>
      <c r="K49" s="8" t="s">
        <v>16</v>
      </c>
      <c r="L49" s="8" t="s">
        <v>14</v>
      </c>
      <c r="M49" s="10">
        <v>8.67</v>
      </c>
      <c r="N49" s="8" t="s">
        <v>637</v>
      </c>
      <c r="O49" s="11">
        <v>0</v>
      </c>
      <c r="P49" s="21">
        <v>0</v>
      </c>
      <c r="Q49" s="5" t="s">
        <v>624</v>
      </c>
      <c r="R49" s="13" t="s">
        <v>656</v>
      </c>
      <c r="S49" s="5" t="str">
        <f>VLOOKUP(G49,[1]fc!$B$2:$D$707,3,0)</f>
        <v>24CS2255F</v>
      </c>
      <c r="T49" s="5" t="str">
        <f>VLOOKUP(G49,[1]fc!$B$2:$F$707,5,0)</f>
        <v>ADVANCED DATA STRUCTURES</v>
      </c>
      <c r="U49" s="14" t="s">
        <v>664</v>
      </c>
      <c r="V49" s="15" t="s">
        <v>665</v>
      </c>
      <c r="W49" s="15" t="s">
        <v>666</v>
      </c>
      <c r="X49" s="15" t="s">
        <v>667</v>
      </c>
      <c r="Y49" s="15" t="s">
        <v>668</v>
      </c>
      <c r="Z49" s="24" t="s">
        <v>669</v>
      </c>
      <c r="AA49" s="1" t="s">
        <v>672</v>
      </c>
      <c r="AB49" s="1" t="s">
        <v>673</v>
      </c>
      <c r="AC49" s="5"/>
      <c r="AD49" s="5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2" x14ac:dyDescent="0.3">
      <c r="A50" s="6">
        <v>49</v>
      </c>
      <c r="B50" s="7">
        <v>46177.50273148148</v>
      </c>
      <c r="C50" s="7">
        <v>46177.503275462965</v>
      </c>
      <c r="D50" s="8" t="s">
        <v>402</v>
      </c>
      <c r="E50" s="8" t="s">
        <v>403</v>
      </c>
      <c r="F50" s="7"/>
      <c r="G50" s="9">
        <v>2400031805</v>
      </c>
      <c r="H50" s="8" t="s">
        <v>404</v>
      </c>
      <c r="I50" s="8" t="s">
        <v>12</v>
      </c>
      <c r="J50" s="8" t="s">
        <v>13</v>
      </c>
      <c r="K50" s="8" t="s">
        <v>16</v>
      </c>
      <c r="L50" s="8" t="s">
        <v>14</v>
      </c>
      <c r="M50" s="10">
        <v>9.16</v>
      </c>
      <c r="N50" s="8" t="s">
        <v>637</v>
      </c>
      <c r="O50" s="11">
        <v>0</v>
      </c>
      <c r="P50" s="12">
        <v>0</v>
      </c>
      <c r="Q50" s="5" t="s">
        <v>625</v>
      </c>
      <c r="R50" s="13" t="s">
        <v>656</v>
      </c>
      <c r="S50" s="5" t="str">
        <f>VLOOKUP(G50,[1]fc!$B$2:$D$707,3,0)</f>
        <v>24CS2256F</v>
      </c>
      <c r="T50" s="5" t="str">
        <f>VLOOKUP(G50,[1]fc!$B$2:$F$707,5,0)</f>
        <v>FOUNDATIONS OF BLOCK CHAIN ENGINEERING</v>
      </c>
      <c r="AA50" s="5"/>
      <c r="AB50" s="5"/>
      <c r="AC50" s="5"/>
      <c r="AD50" s="5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2" x14ac:dyDescent="0.3">
      <c r="A51" s="16">
        <v>50</v>
      </c>
      <c r="B51" s="17">
        <v>46146.96769675926</v>
      </c>
      <c r="C51" s="17">
        <v>46146.96979166667</v>
      </c>
      <c r="D51" s="18" t="s">
        <v>294</v>
      </c>
      <c r="E51" s="18" t="s">
        <v>295</v>
      </c>
      <c r="F51" s="17"/>
      <c r="G51" s="19">
        <v>2400031757</v>
      </c>
      <c r="H51" s="18" t="s">
        <v>296</v>
      </c>
      <c r="I51" s="18" t="s">
        <v>12</v>
      </c>
      <c r="J51" s="18" t="s">
        <v>13</v>
      </c>
      <c r="K51" s="18" t="s">
        <v>16</v>
      </c>
      <c r="L51" s="18" t="s">
        <v>14</v>
      </c>
      <c r="M51" s="20">
        <v>8.2100000000000009</v>
      </c>
      <c r="N51" s="18" t="s">
        <v>639</v>
      </c>
      <c r="O51" s="11">
        <v>0</v>
      </c>
      <c r="P51" s="21">
        <v>0</v>
      </c>
      <c r="Q51" s="5" t="s">
        <v>621</v>
      </c>
      <c r="R51" s="13" t="s">
        <v>656</v>
      </c>
      <c r="S51" s="5" t="str">
        <f>VLOOKUP(G51,[1]fc!$B$2:$D$707,3,0)</f>
        <v>24CS2256F</v>
      </c>
      <c r="T51" s="5" t="str">
        <f>VLOOKUP(G51,[1]fc!$B$2:$F$707,5,0)</f>
        <v>FOUNDATIONS OF BLOCK CHAIN ENGINEERING</v>
      </c>
      <c r="U51" s="14" t="s">
        <v>664</v>
      </c>
      <c r="V51" s="15" t="s">
        <v>665</v>
      </c>
      <c r="W51" s="15" t="s">
        <v>666</v>
      </c>
      <c r="X51" s="15" t="s">
        <v>667</v>
      </c>
      <c r="Y51" s="15" t="s">
        <v>668</v>
      </c>
      <c r="Z51" s="24" t="s">
        <v>669</v>
      </c>
      <c r="AA51" s="1" t="s">
        <v>672</v>
      </c>
      <c r="AB51" s="1" t="s">
        <v>673</v>
      </c>
      <c r="AC51" s="5"/>
      <c r="AD51" s="5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2" x14ac:dyDescent="0.3">
      <c r="A52" s="6">
        <v>51</v>
      </c>
      <c r="B52" s="7">
        <v>46207.732685185183</v>
      </c>
      <c r="C52" s="7">
        <v>46207.733391203707</v>
      </c>
      <c r="D52" s="8" t="s">
        <v>594</v>
      </c>
      <c r="E52" s="8" t="s">
        <v>595</v>
      </c>
      <c r="F52" s="7"/>
      <c r="G52" s="9">
        <v>2400032365</v>
      </c>
      <c r="H52" s="8" t="s">
        <v>596</v>
      </c>
      <c r="I52" s="8" t="s">
        <v>12</v>
      </c>
      <c r="J52" s="8" t="s">
        <v>13</v>
      </c>
      <c r="K52" s="8" t="s">
        <v>15</v>
      </c>
      <c r="L52" s="8" t="s">
        <v>14</v>
      </c>
      <c r="M52" s="10">
        <v>8.1999999999999993</v>
      </c>
      <c r="N52" s="8" t="s">
        <v>633</v>
      </c>
      <c r="O52" s="11">
        <v>0</v>
      </c>
      <c r="P52" s="21">
        <v>0</v>
      </c>
      <c r="Q52" s="5" t="s">
        <v>621</v>
      </c>
      <c r="R52" s="13" t="s">
        <v>656</v>
      </c>
      <c r="S52" s="5" t="str">
        <f>VLOOKUP(G52,[1]fc!$B$2:$D$707,3,0)</f>
        <v>24CS2224F</v>
      </c>
      <c r="T52" s="5" t="str">
        <f>VLOOKUP(G52,[1]fc!$B$2:$F$707,5,0)</f>
        <v>CRYPT ANALYSIS AND CYBER DEFENCE</v>
      </c>
      <c r="U52" s="14" t="s">
        <v>664</v>
      </c>
      <c r="V52" s="15" t="s">
        <v>665</v>
      </c>
      <c r="W52" s="15" t="s">
        <v>666</v>
      </c>
      <c r="X52" s="15" t="s">
        <v>667</v>
      </c>
      <c r="Y52" s="15" t="s">
        <v>668</v>
      </c>
      <c r="Z52" s="24" t="s">
        <v>669</v>
      </c>
      <c r="AA52" s="1" t="s">
        <v>672</v>
      </c>
      <c r="AB52" s="1" t="s">
        <v>673</v>
      </c>
      <c r="AC52" s="5"/>
      <c r="AD52" s="5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1:52" x14ac:dyDescent="0.3">
      <c r="A53" s="16">
        <v>52</v>
      </c>
      <c r="B53" s="7">
        <v>46146.390520833331</v>
      </c>
      <c r="C53" s="7">
        <v>46146.391435185185</v>
      </c>
      <c r="D53" s="8" t="s">
        <v>69</v>
      </c>
      <c r="E53" s="8" t="s">
        <v>70</v>
      </c>
      <c r="F53" s="7"/>
      <c r="G53" s="9">
        <v>2400032832</v>
      </c>
      <c r="H53" s="8" t="s">
        <v>71</v>
      </c>
      <c r="I53" s="8" t="s">
        <v>12</v>
      </c>
      <c r="J53" s="8" t="s">
        <v>13</v>
      </c>
      <c r="K53" s="8" t="s">
        <v>15</v>
      </c>
      <c r="L53" s="8" t="s">
        <v>14</v>
      </c>
      <c r="M53" s="10">
        <v>8.4700000000000006</v>
      </c>
      <c r="N53" s="8" t="s">
        <v>639</v>
      </c>
      <c r="O53" s="11">
        <v>0</v>
      </c>
      <c r="P53" s="21">
        <v>0</v>
      </c>
      <c r="Q53" s="5" t="s">
        <v>617</v>
      </c>
      <c r="R53" s="13" t="s">
        <v>656</v>
      </c>
      <c r="S53" s="5" t="str">
        <f>VLOOKUP(G53,[1]fc!$B$2:$D$707,3,0)</f>
        <v>24CS2258F</v>
      </c>
      <c r="T53" s="5" t="str">
        <f>VLOOKUP(G53,[1]fc!$B$2:$F$707,5,0)</f>
        <v>NATURAL LANGUAGE PROCESSING</v>
      </c>
      <c r="U53" s="1" t="s">
        <v>664</v>
      </c>
      <c r="V53" s="1" t="s">
        <v>665</v>
      </c>
      <c r="W53" s="1" t="s">
        <v>666</v>
      </c>
      <c r="X53" s="1" t="s">
        <v>667</v>
      </c>
      <c r="Y53" s="14" t="s">
        <v>672</v>
      </c>
      <c r="Z53" s="24" t="s">
        <v>673</v>
      </c>
      <c r="AA53" s="1" t="s">
        <v>675</v>
      </c>
      <c r="AB53" s="1" t="s">
        <v>676</v>
      </c>
      <c r="AC53" s="5"/>
      <c r="AD53" s="5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2" x14ac:dyDescent="0.3">
      <c r="A54" s="6">
        <v>53</v>
      </c>
      <c r="B54" s="7">
        <v>46146.427476851852</v>
      </c>
      <c r="C54" s="7">
        <v>46146.435717592591</v>
      </c>
      <c r="D54" s="8" t="s">
        <v>114</v>
      </c>
      <c r="E54" s="8" t="s">
        <v>115</v>
      </c>
      <c r="F54" s="7"/>
      <c r="G54" s="9">
        <v>2400030968</v>
      </c>
      <c r="H54" s="8" t="s">
        <v>116</v>
      </c>
      <c r="I54" s="8" t="s">
        <v>12</v>
      </c>
      <c r="J54" s="8" t="s">
        <v>13</v>
      </c>
      <c r="K54" s="8" t="s">
        <v>15</v>
      </c>
      <c r="L54" s="8" t="s">
        <v>14</v>
      </c>
      <c r="M54" s="10">
        <v>8.52</v>
      </c>
      <c r="N54" s="8" t="s">
        <v>639</v>
      </c>
      <c r="O54" s="11">
        <v>0</v>
      </c>
      <c r="P54" s="12">
        <v>0</v>
      </c>
      <c r="Q54" s="5" t="s">
        <v>617</v>
      </c>
      <c r="R54" s="13" t="s">
        <v>656</v>
      </c>
      <c r="S54" s="5" t="str">
        <f>VLOOKUP(G54,[1]fc!$B$2:$D$707,3,0)</f>
        <v>24CS2255F</v>
      </c>
      <c r="T54" s="5" t="str">
        <f>VLOOKUP(G54,[1]fc!$B$2:$F$707,5,0)</f>
        <v>ADVANCED DATA STRUCTURES</v>
      </c>
      <c r="U54" s="1" t="s">
        <v>664</v>
      </c>
      <c r="V54" s="1" t="s">
        <v>665</v>
      </c>
      <c r="W54" s="1" t="s">
        <v>666</v>
      </c>
      <c r="X54" s="1" t="s">
        <v>667</v>
      </c>
      <c r="Y54" s="14" t="s">
        <v>672</v>
      </c>
      <c r="Z54" s="24" t="s">
        <v>673</v>
      </c>
      <c r="AA54" s="1" t="s">
        <v>675</v>
      </c>
      <c r="AB54" s="1" t="s">
        <v>676</v>
      </c>
      <c r="AC54" s="5"/>
      <c r="AD54" s="5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 spans="1:52" x14ac:dyDescent="0.3">
      <c r="A55" s="16">
        <v>54</v>
      </c>
      <c r="B55" s="17">
        <v>46146.440324074072</v>
      </c>
      <c r="C55" s="17">
        <v>46146.441412037035</v>
      </c>
      <c r="D55" s="18" t="s">
        <v>120</v>
      </c>
      <c r="E55" s="18" t="s">
        <v>121</v>
      </c>
      <c r="F55" s="17"/>
      <c r="G55" s="19">
        <v>2400030891</v>
      </c>
      <c r="H55" s="18" t="s">
        <v>122</v>
      </c>
      <c r="I55" s="18" t="s">
        <v>12</v>
      </c>
      <c r="J55" s="18" t="s">
        <v>13</v>
      </c>
      <c r="K55" s="18" t="s">
        <v>15</v>
      </c>
      <c r="L55" s="18" t="s">
        <v>14</v>
      </c>
      <c r="M55" s="20">
        <v>8.36</v>
      </c>
      <c r="N55" s="18" t="s">
        <v>639</v>
      </c>
      <c r="O55" s="11">
        <v>0</v>
      </c>
      <c r="P55" s="21">
        <v>0</v>
      </c>
      <c r="Q55" s="5" t="s">
        <v>615</v>
      </c>
      <c r="R55" s="13" t="s">
        <v>656</v>
      </c>
      <c r="S55" s="5" t="str">
        <f>VLOOKUP(G55,[1]fc!$B$2:$D$707,3,0)</f>
        <v>24CS2256F</v>
      </c>
      <c r="T55" s="5" t="str">
        <f>VLOOKUP(G55,[1]fc!$B$2:$F$707,5,0)</f>
        <v>FOUNDATIONS OF BLOCK CHAIN ENGINEERING</v>
      </c>
      <c r="U55" s="1" t="s">
        <v>664</v>
      </c>
      <c r="V55" s="1" t="s">
        <v>665</v>
      </c>
      <c r="W55" s="1" t="s">
        <v>666</v>
      </c>
      <c r="X55" s="1" t="s">
        <v>667</v>
      </c>
      <c r="Y55" s="14" t="s">
        <v>672</v>
      </c>
      <c r="Z55" s="24" t="s">
        <v>673</v>
      </c>
      <c r="AA55" s="1" t="s">
        <v>675</v>
      </c>
      <c r="AB55" s="1" t="s">
        <v>676</v>
      </c>
      <c r="AC55" s="5"/>
      <c r="AD55" s="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 spans="1:52" x14ac:dyDescent="0.3">
      <c r="A56" s="6">
        <v>55</v>
      </c>
      <c r="B56" s="17">
        <v>46146.821539351855</v>
      </c>
      <c r="C56" s="17">
        <v>46146.838958333334</v>
      </c>
      <c r="D56" s="18" t="s">
        <v>243</v>
      </c>
      <c r="E56" s="18" t="s">
        <v>244</v>
      </c>
      <c r="F56" s="17"/>
      <c r="G56" s="19">
        <v>2400031542</v>
      </c>
      <c r="H56" s="18" t="s">
        <v>245</v>
      </c>
      <c r="I56" s="18" t="s">
        <v>12</v>
      </c>
      <c r="J56" s="18" t="s">
        <v>21</v>
      </c>
      <c r="K56" s="18" t="s">
        <v>15</v>
      </c>
      <c r="L56" s="18" t="s">
        <v>14</v>
      </c>
      <c r="M56" s="20">
        <v>8.17</v>
      </c>
      <c r="N56" s="18" t="s">
        <v>639</v>
      </c>
      <c r="O56" s="11">
        <v>0</v>
      </c>
      <c r="P56" s="12">
        <v>0</v>
      </c>
      <c r="Q56" s="5" t="s">
        <v>616</v>
      </c>
      <c r="R56" s="13" t="s">
        <v>656</v>
      </c>
      <c r="S56" s="5" t="str">
        <f>VLOOKUP(G56,[1]fc!$B$2:$D$707,3,0)</f>
        <v>24CS2227F</v>
      </c>
      <c r="T56" s="5" t="str">
        <f>VLOOKUP(G56,[1]fc!$B$2:$F$707,5,0)</f>
        <v>DATA ANALYTICS AND VISUALIZATION</v>
      </c>
      <c r="U56" s="14" t="s">
        <v>664</v>
      </c>
      <c r="V56" s="15" t="s">
        <v>665</v>
      </c>
      <c r="W56" s="15" t="s">
        <v>666</v>
      </c>
      <c r="X56" s="15" t="s">
        <v>667</v>
      </c>
      <c r="Y56" s="15" t="s">
        <v>668</v>
      </c>
      <c r="Z56" s="24" t="s">
        <v>669</v>
      </c>
      <c r="AA56" s="1" t="s">
        <v>672</v>
      </c>
      <c r="AB56" s="1" t="s">
        <v>673</v>
      </c>
      <c r="AC56" s="5"/>
      <c r="AD56" s="5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 spans="1:52" x14ac:dyDescent="0.3">
      <c r="A57" s="16">
        <v>56</v>
      </c>
      <c r="B57" s="7">
        <v>46146.8356712963</v>
      </c>
      <c r="C57" s="7">
        <v>46146.838738425926</v>
      </c>
      <c r="D57" s="8" t="s">
        <v>240</v>
      </c>
      <c r="E57" s="8" t="s">
        <v>241</v>
      </c>
      <c r="F57" s="7"/>
      <c r="G57" s="9">
        <v>2400031548</v>
      </c>
      <c r="H57" s="8" t="s">
        <v>242</v>
      </c>
      <c r="I57" s="8" t="s">
        <v>12</v>
      </c>
      <c r="J57" s="8" t="s">
        <v>21</v>
      </c>
      <c r="K57" s="8" t="s">
        <v>15</v>
      </c>
      <c r="L57" s="8" t="s">
        <v>14</v>
      </c>
      <c r="M57" s="10">
        <v>8.83</v>
      </c>
      <c r="N57" s="8" t="s">
        <v>643</v>
      </c>
      <c r="O57" s="11">
        <v>0</v>
      </c>
      <c r="P57" s="21">
        <v>0</v>
      </c>
      <c r="Q57" s="5" t="s">
        <v>621</v>
      </c>
      <c r="R57" s="13" t="s">
        <v>656</v>
      </c>
      <c r="S57" s="5" t="str">
        <f>VLOOKUP(G57,[1]fc!$B$2:$D$707,3,0)</f>
        <v>24CS2227F</v>
      </c>
      <c r="T57" s="5" t="str">
        <f>VLOOKUP(G57,[1]fc!$B$2:$F$707,5,0)</f>
        <v>DATA ANALYTICS AND VISUALIZATION</v>
      </c>
      <c r="U57" s="14" t="s">
        <v>664</v>
      </c>
      <c r="V57" s="15" t="s">
        <v>665</v>
      </c>
      <c r="W57" s="15" t="s">
        <v>666</v>
      </c>
      <c r="X57" s="15" t="s">
        <v>667</v>
      </c>
      <c r="Y57" s="15" t="s">
        <v>668</v>
      </c>
      <c r="Z57" s="24" t="s">
        <v>669</v>
      </c>
      <c r="AA57" s="1" t="s">
        <v>672</v>
      </c>
      <c r="AB57" s="1" t="s">
        <v>673</v>
      </c>
      <c r="AC57" s="5"/>
      <c r="AD57" s="5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52" x14ac:dyDescent="0.3">
      <c r="A58" s="6">
        <v>57</v>
      </c>
      <c r="B58" s="17">
        <v>46177.651712962965</v>
      </c>
      <c r="C58" s="17">
        <v>46177.651932870373</v>
      </c>
      <c r="D58" s="18" t="s">
        <v>489</v>
      </c>
      <c r="E58" s="18" t="s">
        <v>490</v>
      </c>
      <c r="F58" s="17"/>
      <c r="G58" s="19">
        <v>2400030512</v>
      </c>
      <c r="H58" s="18" t="s">
        <v>491</v>
      </c>
      <c r="I58" s="18" t="s">
        <v>12</v>
      </c>
      <c r="J58" s="18" t="s">
        <v>13</v>
      </c>
      <c r="K58" s="18" t="s">
        <v>16</v>
      </c>
      <c r="L58" s="18" t="s">
        <v>14</v>
      </c>
      <c r="M58" s="20">
        <v>8.26</v>
      </c>
      <c r="N58" s="18" t="s">
        <v>639</v>
      </c>
      <c r="O58" s="11">
        <v>0</v>
      </c>
      <c r="P58" s="12">
        <v>0</v>
      </c>
      <c r="Q58" s="5" t="s">
        <v>615</v>
      </c>
      <c r="R58" s="13" t="s">
        <v>656</v>
      </c>
      <c r="S58" s="5" t="str">
        <f>VLOOKUP(G58,[1]fc!$B$2:$D$707,3,0)</f>
        <v>24CS2255F</v>
      </c>
      <c r="T58" s="5" t="str">
        <f>VLOOKUP(G58,[1]fc!$B$2:$F$707,5,0)</f>
        <v>ADVANCED DATA STRUCTURES</v>
      </c>
      <c r="U58" s="1" t="s">
        <v>664</v>
      </c>
      <c r="V58" s="1" t="s">
        <v>665</v>
      </c>
      <c r="W58" s="1" t="s">
        <v>666</v>
      </c>
      <c r="X58" s="1" t="s">
        <v>667</v>
      </c>
      <c r="Y58" s="14" t="s">
        <v>672</v>
      </c>
      <c r="Z58" s="24" t="s">
        <v>673</v>
      </c>
      <c r="AA58" s="1" t="s">
        <v>675</v>
      </c>
      <c r="AB58" s="1" t="s">
        <v>676</v>
      </c>
      <c r="AC58" s="5"/>
      <c r="AD58" s="5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52" x14ac:dyDescent="0.3">
      <c r="A59" s="16">
        <v>58</v>
      </c>
      <c r="B59" s="17">
        <v>46177.711261574077</v>
      </c>
      <c r="C59" s="17">
        <v>46177.712175925924</v>
      </c>
      <c r="D59" s="18" t="s">
        <v>525</v>
      </c>
      <c r="E59" s="18" t="s">
        <v>526</v>
      </c>
      <c r="F59" s="17"/>
      <c r="G59" s="19">
        <v>2400031909</v>
      </c>
      <c r="H59" s="18" t="s">
        <v>527</v>
      </c>
      <c r="I59" s="18" t="s">
        <v>12</v>
      </c>
      <c r="J59" s="18" t="s">
        <v>13</v>
      </c>
      <c r="K59" s="18" t="s">
        <v>15</v>
      </c>
      <c r="L59" s="18" t="s">
        <v>14</v>
      </c>
      <c r="M59" s="20">
        <v>8.23</v>
      </c>
      <c r="N59" s="18" t="s">
        <v>639</v>
      </c>
      <c r="O59" s="11">
        <v>0</v>
      </c>
      <c r="P59" s="12">
        <v>0</v>
      </c>
      <c r="Q59" s="5" t="s">
        <v>615</v>
      </c>
      <c r="R59" s="13" t="s">
        <v>656</v>
      </c>
      <c r="S59" s="5" t="str">
        <f>VLOOKUP(G59,[1]fc!$B$2:$D$707,3,0)</f>
        <v>24CS2255F</v>
      </c>
      <c r="T59" s="5" t="str">
        <f>VLOOKUP(G59,[1]fc!$B$2:$F$707,5,0)</f>
        <v>ADVANCED DATA STRUCTURES</v>
      </c>
      <c r="U59" s="1" t="s">
        <v>664</v>
      </c>
      <c r="V59" s="1" t="s">
        <v>665</v>
      </c>
      <c r="W59" s="1" t="s">
        <v>666</v>
      </c>
      <c r="X59" s="1" t="s">
        <v>667</v>
      </c>
      <c r="Y59" s="14" t="s">
        <v>672</v>
      </c>
      <c r="Z59" s="24" t="s">
        <v>673</v>
      </c>
      <c r="AA59" s="1" t="s">
        <v>675</v>
      </c>
      <c r="AB59" s="1" t="s">
        <v>676</v>
      </c>
      <c r="AC59" s="5"/>
      <c r="AD59" s="5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52" x14ac:dyDescent="0.3">
      <c r="A60" s="6">
        <v>59</v>
      </c>
      <c r="B60" s="7">
        <v>46146.378969907404</v>
      </c>
      <c r="C60" s="7">
        <v>46146.37939814815</v>
      </c>
      <c r="D60" s="8" t="s">
        <v>46</v>
      </c>
      <c r="E60" s="8" t="s">
        <v>47</v>
      </c>
      <c r="F60" s="7"/>
      <c r="G60" s="9">
        <v>2400030487</v>
      </c>
      <c r="H60" s="8" t="s">
        <v>48</v>
      </c>
      <c r="I60" s="8" t="s">
        <v>12</v>
      </c>
      <c r="J60" s="8" t="s">
        <v>13</v>
      </c>
      <c r="K60" s="8" t="s">
        <v>15</v>
      </c>
      <c r="L60" s="8" t="s">
        <v>14</v>
      </c>
      <c r="M60" s="10">
        <v>9.31</v>
      </c>
      <c r="N60" s="8" t="s">
        <v>633</v>
      </c>
      <c r="O60" s="11">
        <v>0</v>
      </c>
      <c r="P60" s="12">
        <v>0</v>
      </c>
      <c r="Q60" s="5" t="s">
        <v>613</v>
      </c>
      <c r="R60" s="13" t="s">
        <v>656</v>
      </c>
      <c r="S60" s="5" t="str">
        <f>VLOOKUP(G60,[1]fc!$B$2:$D$707,3,0)</f>
        <v>24CS2255F</v>
      </c>
      <c r="T60" s="5" t="str">
        <f>VLOOKUP(G60,[1]fc!$B$2:$F$707,5,0)</f>
        <v>ADVANCED DATA STRUCTURES</v>
      </c>
      <c r="U60" s="14" t="s">
        <v>664</v>
      </c>
      <c r="V60" s="15" t="s">
        <v>665</v>
      </c>
      <c r="W60" s="15" t="s">
        <v>666</v>
      </c>
      <c r="X60" s="15" t="s">
        <v>667</v>
      </c>
      <c r="Y60" s="15" t="s">
        <v>668</v>
      </c>
      <c r="Z60" s="24" t="s">
        <v>669</v>
      </c>
      <c r="AA60" s="1" t="s">
        <v>672</v>
      </c>
      <c r="AB60" s="1" t="s">
        <v>673</v>
      </c>
      <c r="AC60" s="5"/>
      <c r="AD60" s="5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 spans="1:52" x14ac:dyDescent="0.3">
      <c r="A61" s="16">
        <v>60</v>
      </c>
      <c r="B61" s="17">
        <v>46146.435081018521</v>
      </c>
      <c r="C61" s="17">
        <v>46146.435706018521</v>
      </c>
      <c r="D61" s="18" t="s">
        <v>111</v>
      </c>
      <c r="E61" s="18" t="s">
        <v>112</v>
      </c>
      <c r="F61" s="17"/>
      <c r="G61" s="19">
        <v>2400030994</v>
      </c>
      <c r="H61" s="18" t="s">
        <v>113</v>
      </c>
      <c r="I61" s="18" t="s">
        <v>12</v>
      </c>
      <c r="J61" s="18" t="s">
        <v>13</v>
      </c>
      <c r="K61" s="18" t="s">
        <v>16</v>
      </c>
      <c r="L61" s="18" t="s">
        <v>14</v>
      </c>
      <c r="M61" s="20">
        <v>8.0399999999999991</v>
      </c>
      <c r="N61" s="18" t="s">
        <v>633</v>
      </c>
      <c r="O61" s="11">
        <v>0</v>
      </c>
      <c r="P61" s="12">
        <v>0</v>
      </c>
      <c r="Q61" s="5" t="s">
        <v>617</v>
      </c>
      <c r="R61" s="13" t="s">
        <v>656</v>
      </c>
      <c r="S61" s="5" t="str">
        <f>VLOOKUP(G61,[1]fc!$B$2:$D$707,3,0)</f>
        <v>24CS2255F</v>
      </c>
      <c r="T61" s="5" t="str">
        <f>VLOOKUP(G61,[1]fc!$B$2:$F$707,5,0)</f>
        <v>ADVANCED DATA STRUCTURES</v>
      </c>
      <c r="U61" s="1" t="s">
        <v>664</v>
      </c>
      <c r="V61" s="1" t="s">
        <v>665</v>
      </c>
      <c r="W61" s="1" t="s">
        <v>666</v>
      </c>
      <c r="X61" s="1" t="s">
        <v>667</v>
      </c>
      <c r="Y61" s="14" t="s">
        <v>672</v>
      </c>
      <c r="Z61" s="24" t="s">
        <v>673</v>
      </c>
      <c r="AA61" s="1" t="s">
        <v>675</v>
      </c>
      <c r="AB61" s="1" t="s">
        <v>676</v>
      </c>
      <c r="AC61" s="5"/>
      <c r="AD61" s="5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 spans="1:52" x14ac:dyDescent="0.3">
      <c r="A62" s="6">
        <v>61</v>
      </c>
      <c r="B62" s="17">
        <v>46146.434988425928</v>
      </c>
      <c r="C62" s="17">
        <v>46146.435937499999</v>
      </c>
      <c r="D62" s="18" t="s">
        <v>117</v>
      </c>
      <c r="E62" s="18" t="s">
        <v>118</v>
      </c>
      <c r="F62" s="17"/>
      <c r="G62" s="19">
        <v>2400030592</v>
      </c>
      <c r="H62" s="18" t="s">
        <v>119</v>
      </c>
      <c r="I62" s="18" t="s">
        <v>12</v>
      </c>
      <c r="J62" s="18" t="s">
        <v>13</v>
      </c>
      <c r="K62" s="18" t="s">
        <v>15</v>
      </c>
      <c r="L62" s="18" t="s">
        <v>14</v>
      </c>
      <c r="M62" s="20">
        <v>8.17</v>
      </c>
      <c r="N62" s="18" t="s">
        <v>633</v>
      </c>
      <c r="O62" s="11">
        <v>0</v>
      </c>
      <c r="P62" s="21">
        <v>0</v>
      </c>
      <c r="Q62" s="5" t="s">
        <v>617</v>
      </c>
      <c r="R62" s="13" t="s">
        <v>656</v>
      </c>
      <c r="S62" s="5" t="str">
        <f>VLOOKUP(G62,[1]fc!$B$2:$D$707,3,0)</f>
        <v>24CS2255F</v>
      </c>
      <c r="T62" s="5" t="str">
        <f>VLOOKUP(G62,[1]fc!$B$2:$F$707,5,0)</f>
        <v>ADVANCED DATA STRUCTURES</v>
      </c>
      <c r="U62" s="1" t="s">
        <v>664</v>
      </c>
      <c r="V62" s="1" t="s">
        <v>665</v>
      </c>
      <c r="W62" s="1" t="s">
        <v>666</v>
      </c>
      <c r="X62" s="1" t="s">
        <v>667</v>
      </c>
      <c r="Y62" s="14" t="s">
        <v>672</v>
      </c>
      <c r="Z62" s="24" t="s">
        <v>673</v>
      </c>
      <c r="AA62" s="1" t="s">
        <v>675</v>
      </c>
      <c r="AB62" s="1" t="s">
        <v>676</v>
      </c>
      <c r="AC62" s="5"/>
      <c r="AD62" s="5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 spans="1:52" x14ac:dyDescent="0.3">
      <c r="A63" s="16">
        <v>62</v>
      </c>
      <c r="B63" s="7">
        <v>46146.471689814818</v>
      </c>
      <c r="C63" s="7">
        <v>46146.472326388888</v>
      </c>
      <c r="D63" s="8" t="s">
        <v>144</v>
      </c>
      <c r="E63" s="8" t="s">
        <v>145</v>
      </c>
      <c r="F63" s="7"/>
      <c r="G63" s="9">
        <v>2400030113</v>
      </c>
      <c r="H63" s="8" t="s">
        <v>146</v>
      </c>
      <c r="I63" s="8" t="s">
        <v>12</v>
      </c>
      <c r="J63" s="8" t="s">
        <v>13</v>
      </c>
      <c r="K63" s="8" t="s">
        <v>16</v>
      </c>
      <c r="L63" s="8" t="s">
        <v>14</v>
      </c>
      <c r="M63" s="10">
        <v>8.58</v>
      </c>
      <c r="N63" s="8" t="s">
        <v>633</v>
      </c>
      <c r="O63" s="11">
        <v>0</v>
      </c>
      <c r="P63" s="21">
        <v>0</v>
      </c>
      <c r="Q63" s="5" t="s">
        <v>613</v>
      </c>
      <c r="R63" s="13" t="s">
        <v>656</v>
      </c>
      <c r="S63" s="5" t="str">
        <f>VLOOKUP(G63,[1]fc!$B$2:$D$707,3,0)</f>
        <v>24CS2255F</v>
      </c>
      <c r="T63" s="5" t="str">
        <f>VLOOKUP(G63,[1]fc!$B$2:$F$707,5,0)</f>
        <v>ADVANCED DATA STRUCTURES</v>
      </c>
      <c r="U63" s="14" t="s">
        <v>664</v>
      </c>
      <c r="V63" s="15" t="s">
        <v>665</v>
      </c>
      <c r="W63" s="15" t="s">
        <v>666</v>
      </c>
      <c r="X63" s="15" t="s">
        <v>667</v>
      </c>
      <c r="Y63" s="15" t="s">
        <v>668</v>
      </c>
      <c r="Z63" s="24" t="s">
        <v>669</v>
      </c>
      <c r="AA63" s="1" t="s">
        <v>672</v>
      </c>
      <c r="AB63" s="1" t="s">
        <v>673</v>
      </c>
      <c r="AC63" s="5"/>
      <c r="AD63" s="5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52" x14ac:dyDescent="0.3">
      <c r="A64" s="6">
        <v>63</v>
      </c>
      <c r="B64" s="7">
        <v>46146.547997685186</v>
      </c>
      <c r="C64" s="7">
        <v>46146.548425925925</v>
      </c>
      <c r="D64" s="8" t="s">
        <v>180</v>
      </c>
      <c r="E64" s="8" t="s">
        <v>181</v>
      </c>
      <c r="F64" s="7"/>
      <c r="G64" s="9">
        <v>2400031736</v>
      </c>
      <c r="H64" s="8" t="s">
        <v>182</v>
      </c>
      <c r="I64" s="8" t="s">
        <v>12</v>
      </c>
      <c r="J64" s="8" t="s">
        <v>13</v>
      </c>
      <c r="K64" s="8" t="s">
        <v>16</v>
      </c>
      <c r="L64" s="8" t="s">
        <v>14</v>
      </c>
      <c r="M64" s="10">
        <v>8.9600000000000009</v>
      </c>
      <c r="N64" s="8" t="s">
        <v>633</v>
      </c>
      <c r="O64" s="11">
        <v>0</v>
      </c>
      <c r="P64" s="21">
        <v>0</v>
      </c>
      <c r="Q64" s="5" t="s">
        <v>615</v>
      </c>
      <c r="R64" s="13" t="s">
        <v>656</v>
      </c>
      <c r="S64" s="5" t="str">
        <f>VLOOKUP(G64,[1]fc!$B$2:$D$707,3,0)</f>
        <v>24CS2221F</v>
      </c>
      <c r="T64" s="5" t="str">
        <f>VLOOKUP(G64,[1]fc!$B$2:$F$707,5,0)</f>
        <v>UX DESIGN</v>
      </c>
      <c r="U64" s="1" t="s">
        <v>664</v>
      </c>
      <c r="V64" s="1" t="s">
        <v>665</v>
      </c>
      <c r="W64" s="1" t="s">
        <v>666</v>
      </c>
      <c r="X64" s="1" t="s">
        <v>667</v>
      </c>
      <c r="Y64" s="14" t="s">
        <v>672</v>
      </c>
      <c r="Z64" s="24" t="s">
        <v>673</v>
      </c>
      <c r="AA64" s="1" t="s">
        <v>675</v>
      </c>
      <c r="AB64" s="1" t="s">
        <v>676</v>
      </c>
      <c r="AC64" s="5"/>
      <c r="AD64" s="5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 spans="1:52" x14ac:dyDescent="0.3">
      <c r="A65" s="16">
        <v>64</v>
      </c>
      <c r="B65" s="7">
        <v>46146.593888888892</v>
      </c>
      <c r="C65" s="7">
        <v>46146.594687500001</v>
      </c>
      <c r="D65" s="8" t="s">
        <v>198</v>
      </c>
      <c r="E65" s="8" t="s">
        <v>199</v>
      </c>
      <c r="F65" s="7"/>
      <c r="G65" s="9">
        <v>2400030543</v>
      </c>
      <c r="H65" s="8" t="s">
        <v>200</v>
      </c>
      <c r="I65" s="8" t="s">
        <v>12</v>
      </c>
      <c r="J65" s="8" t="s">
        <v>13</v>
      </c>
      <c r="K65" s="8" t="s">
        <v>15</v>
      </c>
      <c r="L65" s="8" t="s">
        <v>14</v>
      </c>
      <c r="M65" s="10">
        <v>8.23</v>
      </c>
      <c r="N65" s="8" t="s">
        <v>633</v>
      </c>
      <c r="O65" s="11">
        <v>0</v>
      </c>
      <c r="P65" s="21">
        <v>0</v>
      </c>
      <c r="Q65" s="5" t="s">
        <v>613</v>
      </c>
      <c r="R65" s="13" t="s">
        <v>656</v>
      </c>
      <c r="S65" s="5" t="str">
        <f>VLOOKUP(G65,[1]fc!$B$2:$D$707,3,0)</f>
        <v>24CS2255F</v>
      </c>
      <c r="T65" s="5" t="str">
        <f>VLOOKUP(G65,[1]fc!$B$2:$F$707,5,0)</f>
        <v>ADVANCED DATA STRUCTURES</v>
      </c>
      <c r="U65" s="14" t="s">
        <v>664</v>
      </c>
      <c r="V65" s="15" t="s">
        <v>665</v>
      </c>
      <c r="W65" s="15" t="s">
        <v>666</v>
      </c>
      <c r="X65" s="15" t="s">
        <v>667</v>
      </c>
      <c r="Y65" s="15" t="s">
        <v>668</v>
      </c>
      <c r="Z65" s="24" t="s">
        <v>669</v>
      </c>
      <c r="AA65" s="1" t="s">
        <v>672</v>
      </c>
      <c r="AB65" s="1" t="s">
        <v>673</v>
      </c>
      <c r="AC65" s="5"/>
      <c r="AD65" s="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 spans="1:52" x14ac:dyDescent="0.3">
      <c r="A66" s="6">
        <v>65</v>
      </c>
      <c r="B66" s="7">
        <v>46146.6799537037</v>
      </c>
      <c r="C66" s="7">
        <v>46146.680810185186</v>
      </c>
      <c r="D66" s="8" t="s">
        <v>222</v>
      </c>
      <c r="E66" s="8" t="s">
        <v>223</v>
      </c>
      <c r="F66" s="7"/>
      <c r="G66" s="9">
        <v>2400032407</v>
      </c>
      <c r="H66" s="8" t="s">
        <v>224</v>
      </c>
      <c r="I66" s="8" t="s">
        <v>12</v>
      </c>
      <c r="J66" s="8" t="s">
        <v>13</v>
      </c>
      <c r="K66" s="8" t="s">
        <v>16</v>
      </c>
      <c r="L66" s="8" t="s">
        <v>14</v>
      </c>
      <c r="M66" s="10">
        <v>9.1999999999999993</v>
      </c>
      <c r="N66" s="8" t="s">
        <v>633</v>
      </c>
      <c r="O66" s="11">
        <v>0</v>
      </c>
      <c r="P66" s="21">
        <v>0</v>
      </c>
      <c r="Q66" s="5" t="s">
        <v>615</v>
      </c>
      <c r="R66" s="13" t="s">
        <v>656</v>
      </c>
      <c r="S66" s="5" t="str">
        <f>VLOOKUP(G66,[1]fc!$B$2:$D$707,3,0)</f>
        <v>24CS2255F</v>
      </c>
      <c r="T66" s="5" t="str">
        <f>VLOOKUP(G66,[1]fc!$B$2:$F$707,5,0)</f>
        <v>ADVANCED DATA STRUCTURES</v>
      </c>
      <c r="U66" s="1" t="s">
        <v>664</v>
      </c>
      <c r="V66" s="1" t="s">
        <v>665</v>
      </c>
      <c r="W66" s="1" t="s">
        <v>666</v>
      </c>
      <c r="X66" s="1" t="s">
        <v>667</v>
      </c>
      <c r="Y66" s="14" t="s">
        <v>672</v>
      </c>
      <c r="Z66" s="24" t="s">
        <v>673</v>
      </c>
      <c r="AA66" s="1" t="s">
        <v>675</v>
      </c>
      <c r="AB66" s="1" t="s">
        <v>676</v>
      </c>
      <c r="AC66" s="5"/>
      <c r="AD66" s="5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1:52" x14ac:dyDescent="0.3">
      <c r="A67" s="16">
        <v>66</v>
      </c>
      <c r="B67" s="7">
        <v>46146.843113425923</v>
      </c>
      <c r="C67" s="7">
        <v>46146.843865740739</v>
      </c>
      <c r="D67" s="8" t="s">
        <v>246</v>
      </c>
      <c r="E67" s="8" t="s">
        <v>247</v>
      </c>
      <c r="F67" s="7"/>
      <c r="G67" s="9">
        <v>2400032087</v>
      </c>
      <c r="H67" s="8" t="s">
        <v>248</v>
      </c>
      <c r="I67" s="8" t="s">
        <v>12</v>
      </c>
      <c r="J67" s="8" t="s">
        <v>13</v>
      </c>
      <c r="K67" s="8" t="s">
        <v>16</v>
      </c>
      <c r="L67" s="8" t="s">
        <v>14</v>
      </c>
      <c r="M67" s="10">
        <v>8.73</v>
      </c>
      <c r="N67" s="8" t="s">
        <v>643</v>
      </c>
      <c r="O67" s="11">
        <v>0</v>
      </c>
      <c r="P67" s="12">
        <v>0</v>
      </c>
      <c r="Q67" s="5" t="s">
        <v>621</v>
      </c>
      <c r="R67" s="13" t="s">
        <v>656</v>
      </c>
      <c r="S67" s="5" t="str">
        <f>VLOOKUP(G67,[1]fc!$B$2:$D$707,3,0)</f>
        <v>24CS2237F</v>
      </c>
      <c r="T67" s="5" t="str">
        <f>VLOOKUP(G67,[1]fc!$B$2:$F$707,5,0)</f>
        <v>QUANTUM COMPUTING</v>
      </c>
      <c r="U67" s="14" t="s">
        <v>664</v>
      </c>
      <c r="V67" s="15" t="s">
        <v>665</v>
      </c>
      <c r="W67" s="15" t="s">
        <v>666</v>
      </c>
      <c r="X67" s="15" t="s">
        <v>667</v>
      </c>
      <c r="Y67" s="15" t="s">
        <v>668</v>
      </c>
      <c r="Z67" s="24" t="s">
        <v>669</v>
      </c>
      <c r="AA67" s="1" t="s">
        <v>672</v>
      </c>
      <c r="AB67" s="1" t="s">
        <v>673</v>
      </c>
      <c r="AC67" s="5"/>
      <c r="AD67" s="5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 spans="1:52" x14ac:dyDescent="0.3">
      <c r="A68" s="6">
        <v>67</v>
      </c>
      <c r="B68" s="17">
        <v>46207.949016203704</v>
      </c>
      <c r="C68" s="17">
        <v>46207.949363425927</v>
      </c>
      <c r="D68" s="18" t="s">
        <v>609</v>
      </c>
      <c r="E68" s="18" t="s">
        <v>610</v>
      </c>
      <c r="F68" s="17"/>
      <c r="G68" s="19">
        <v>2400031474</v>
      </c>
      <c r="H68" s="18" t="s">
        <v>611</v>
      </c>
      <c r="I68" s="18" t="s">
        <v>12</v>
      </c>
      <c r="J68" s="18" t="s">
        <v>13</v>
      </c>
      <c r="K68" s="18" t="s">
        <v>16</v>
      </c>
      <c r="L68" s="18" t="s">
        <v>14</v>
      </c>
      <c r="M68" s="20">
        <v>9.2200000000000006</v>
      </c>
      <c r="N68" s="18" t="s">
        <v>633</v>
      </c>
      <c r="O68" s="11">
        <v>0</v>
      </c>
      <c r="P68" s="21">
        <v>0</v>
      </c>
      <c r="Q68" s="5" t="s">
        <v>622</v>
      </c>
      <c r="R68" s="13" t="s">
        <v>656</v>
      </c>
      <c r="S68" s="5" t="str">
        <f>VLOOKUP(G68,[1]fc!$B$2:$D$707,3,0)</f>
        <v>24CS2237F</v>
      </c>
      <c r="T68" s="5" t="str">
        <f>VLOOKUP(G68,[1]fc!$B$2:$F$707,5,0)</f>
        <v>QUANTUM COMPUTING</v>
      </c>
      <c r="U68" s="1" t="s">
        <v>664</v>
      </c>
      <c r="V68" s="1" t="s">
        <v>665</v>
      </c>
      <c r="W68" s="1" t="s">
        <v>666</v>
      </c>
      <c r="X68" s="1" t="s">
        <v>667</v>
      </c>
      <c r="Y68" s="1" t="s">
        <v>668</v>
      </c>
      <c r="Z68" s="25" t="s">
        <v>669</v>
      </c>
      <c r="AA68" s="5"/>
      <c r="AB68" s="5"/>
      <c r="AC68" s="5"/>
      <c r="AD68" s="5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1:52" x14ac:dyDescent="0.3">
      <c r="A69" s="16">
        <v>68</v>
      </c>
      <c r="B69" s="7">
        <v>46146.711805555555</v>
      </c>
      <c r="C69" s="7">
        <v>46146.712187500001</v>
      </c>
      <c r="D69" s="8" t="s">
        <v>228</v>
      </c>
      <c r="E69" s="8" t="s">
        <v>229</v>
      </c>
      <c r="F69" s="7"/>
      <c r="G69" s="9">
        <v>2400030332</v>
      </c>
      <c r="H69" s="8" t="s">
        <v>230</v>
      </c>
      <c r="I69" s="8" t="s">
        <v>12</v>
      </c>
      <c r="J69" s="8" t="s">
        <v>13</v>
      </c>
      <c r="K69" s="8" t="s">
        <v>16</v>
      </c>
      <c r="L69" s="8" t="s">
        <v>14</v>
      </c>
      <c r="M69" s="10">
        <v>9.41</v>
      </c>
      <c r="N69" s="8" t="s">
        <v>649</v>
      </c>
      <c r="O69" s="11">
        <v>0</v>
      </c>
      <c r="P69" s="21">
        <v>0</v>
      </c>
      <c r="Q69" s="5" t="s">
        <v>613</v>
      </c>
      <c r="R69" s="13" t="s">
        <v>656</v>
      </c>
      <c r="S69" s="5" t="str">
        <f>VLOOKUP(G69,[1]fc!$B$2:$D$707,3,0)</f>
        <v>24CS2255F</v>
      </c>
      <c r="T69" s="5" t="str">
        <f>VLOOKUP(G69,[1]fc!$B$2:$F$707,5,0)</f>
        <v>ADVANCED DATA STRUCTURES</v>
      </c>
      <c r="U69" s="14" t="s">
        <v>664</v>
      </c>
      <c r="V69" s="15" t="s">
        <v>665</v>
      </c>
      <c r="W69" s="15" t="s">
        <v>666</v>
      </c>
      <c r="X69" s="15" t="s">
        <v>667</v>
      </c>
      <c r="Y69" s="15" t="s">
        <v>668</v>
      </c>
      <c r="Z69" s="24" t="s">
        <v>669</v>
      </c>
      <c r="AA69" s="1" t="s">
        <v>672</v>
      </c>
      <c r="AB69" s="1" t="s">
        <v>673</v>
      </c>
      <c r="AC69" s="5"/>
      <c r="AD69" s="5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 spans="1:52" x14ac:dyDescent="0.3">
      <c r="A70" s="6">
        <v>69</v>
      </c>
      <c r="B70" s="7">
        <v>46146.405833333331</v>
      </c>
      <c r="C70" s="7">
        <v>46146.406701388885</v>
      </c>
      <c r="D70" s="8" t="s">
        <v>81</v>
      </c>
      <c r="E70" s="8" t="s">
        <v>82</v>
      </c>
      <c r="F70" s="7"/>
      <c r="G70" s="9">
        <v>2400032586</v>
      </c>
      <c r="H70" s="8" t="s">
        <v>83</v>
      </c>
      <c r="I70" s="8" t="s">
        <v>12</v>
      </c>
      <c r="J70" s="8" t="s">
        <v>13</v>
      </c>
      <c r="K70" s="8" t="s">
        <v>16</v>
      </c>
      <c r="L70" s="8" t="s">
        <v>14</v>
      </c>
      <c r="M70" s="10">
        <v>8.68</v>
      </c>
      <c r="N70" s="8" t="s">
        <v>643</v>
      </c>
      <c r="O70" s="11">
        <v>0</v>
      </c>
      <c r="P70" s="12">
        <v>0</v>
      </c>
      <c r="Q70" s="5" t="s">
        <v>613</v>
      </c>
      <c r="R70" s="13" t="s">
        <v>656</v>
      </c>
      <c r="S70" s="5" t="str">
        <f>VLOOKUP(G70,[1]fc!$B$2:$D$707,3,0)</f>
        <v>24CS2237F</v>
      </c>
      <c r="T70" s="5" t="str">
        <f>VLOOKUP(G70,[1]fc!$B$2:$F$707,5,0)</f>
        <v>QUANTUM COMPUTING</v>
      </c>
      <c r="U70" s="14" t="s">
        <v>664</v>
      </c>
      <c r="V70" s="15" t="s">
        <v>665</v>
      </c>
      <c r="W70" s="15" t="s">
        <v>666</v>
      </c>
      <c r="X70" s="15" t="s">
        <v>667</v>
      </c>
      <c r="Y70" s="15" t="s">
        <v>668</v>
      </c>
      <c r="Z70" s="24" t="s">
        <v>669</v>
      </c>
      <c r="AA70" s="1" t="s">
        <v>672</v>
      </c>
      <c r="AB70" s="1" t="s">
        <v>673</v>
      </c>
      <c r="AC70" s="5"/>
      <c r="AD70" s="5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  <row r="71" spans="1:52" x14ac:dyDescent="0.3">
      <c r="A71" s="16">
        <v>70</v>
      </c>
      <c r="B71" s="17">
        <v>46146.653993055559</v>
      </c>
      <c r="C71" s="17">
        <v>46146.655358796299</v>
      </c>
      <c r="D71" s="18" t="s">
        <v>216</v>
      </c>
      <c r="E71" s="18" t="s">
        <v>217</v>
      </c>
      <c r="F71" s="17"/>
      <c r="G71" s="19">
        <v>2400032249</v>
      </c>
      <c r="H71" s="18" t="s">
        <v>218</v>
      </c>
      <c r="I71" s="18" t="s">
        <v>12</v>
      </c>
      <c r="J71" s="18" t="s">
        <v>13</v>
      </c>
      <c r="K71" s="18" t="s">
        <v>16</v>
      </c>
      <c r="L71" s="18" t="s">
        <v>14</v>
      </c>
      <c r="M71" s="20">
        <v>8.76</v>
      </c>
      <c r="N71" s="18" t="s">
        <v>643</v>
      </c>
      <c r="O71" s="11">
        <v>0</v>
      </c>
      <c r="P71" s="12">
        <v>0</v>
      </c>
      <c r="Q71" s="5" t="s">
        <v>615</v>
      </c>
      <c r="R71" s="13" t="s">
        <v>656</v>
      </c>
      <c r="S71" s="5" t="str">
        <f>VLOOKUP(G71,[1]fc!$B$2:$D$707,3,0)</f>
        <v>24CS2256F</v>
      </c>
      <c r="T71" s="5" t="str">
        <f>VLOOKUP(G71,[1]fc!$B$2:$F$707,5,0)</f>
        <v>FOUNDATIONS OF BLOCK CHAIN ENGINEERING</v>
      </c>
      <c r="U71" s="1" t="s">
        <v>664</v>
      </c>
      <c r="V71" s="1" t="s">
        <v>665</v>
      </c>
      <c r="W71" s="1" t="s">
        <v>666</v>
      </c>
      <c r="X71" s="1" t="s">
        <v>667</v>
      </c>
      <c r="Y71" s="14" t="s">
        <v>672</v>
      </c>
      <c r="Z71" s="24" t="s">
        <v>673</v>
      </c>
      <c r="AA71" s="1" t="s">
        <v>675</v>
      </c>
      <c r="AB71" s="1" t="s">
        <v>676</v>
      </c>
      <c r="AC71" s="5"/>
      <c r="AD71" s="5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 spans="1:52" x14ac:dyDescent="0.3">
      <c r="A72" s="6">
        <v>71</v>
      </c>
      <c r="B72" s="17">
        <v>46177.574050925927</v>
      </c>
      <c r="C72" s="17">
        <v>46177.574525462966</v>
      </c>
      <c r="D72" s="18" t="s">
        <v>444</v>
      </c>
      <c r="E72" s="18" t="s">
        <v>445</v>
      </c>
      <c r="F72" s="17"/>
      <c r="G72" s="19">
        <v>2400032010</v>
      </c>
      <c r="H72" s="18" t="s">
        <v>446</v>
      </c>
      <c r="I72" s="18" t="s">
        <v>12</v>
      </c>
      <c r="J72" s="18" t="s">
        <v>13</v>
      </c>
      <c r="K72" s="18" t="s">
        <v>16</v>
      </c>
      <c r="L72" s="18" t="s">
        <v>14</v>
      </c>
      <c r="M72" s="20">
        <v>8.84</v>
      </c>
      <c r="N72" s="18" t="s">
        <v>643</v>
      </c>
      <c r="O72" s="11">
        <v>0</v>
      </c>
      <c r="P72" s="21">
        <v>0</v>
      </c>
      <c r="Q72" s="5" t="s">
        <v>621</v>
      </c>
      <c r="R72" s="13" t="s">
        <v>656</v>
      </c>
      <c r="S72" s="5" t="str">
        <f>VLOOKUP(G72,[1]fc!$B$2:$D$707,3,0)</f>
        <v>24CS2227F</v>
      </c>
      <c r="T72" s="5" t="str">
        <f>VLOOKUP(G72,[1]fc!$B$2:$F$707,5,0)</f>
        <v>DATA ANALYTICS AND VISUALIZATION</v>
      </c>
      <c r="U72" s="14" t="s">
        <v>664</v>
      </c>
      <c r="V72" s="15" t="s">
        <v>665</v>
      </c>
      <c r="W72" s="15" t="s">
        <v>666</v>
      </c>
      <c r="X72" s="15" t="s">
        <v>667</v>
      </c>
      <c r="Y72" s="15" t="s">
        <v>668</v>
      </c>
      <c r="Z72" s="24" t="s">
        <v>669</v>
      </c>
      <c r="AA72" s="1" t="s">
        <v>672</v>
      </c>
      <c r="AB72" s="1" t="s">
        <v>673</v>
      </c>
      <c r="AC72" s="5"/>
      <c r="AD72" s="5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 spans="1:52" x14ac:dyDescent="0.3">
      <c r="A73" s="16">
        <v>72</v>
      </c>
      <c r="B73" s="7">
        <v>46177.737245370372</v>
      </c>
      <c r="C73" s="7">
        <v>46177.737511574072</v>
      </c>
      <c r="D73" s="8" t="s">
        <v>534</v>
      </c>
      <c r="E73" s="8" t="s">
        <v>535</v>
      </c>
      <c r="F73" s="7"/>
      <c r="G73" s="9">
        <v>2400031647</v>
      </c>
      <c r="H73" s="8" t="s">
        <v>536</v>
      </c>
      <c r="I73" s="8" t="s">
        <v>12</v>
      </c>
      <c r="J73" s="8" t="s">
        <v>13</v>
      </c>
      <c r="K73" s="8" t="s">
        <v>16</v>
      </c>
      <c r="L73" s="8" t="s">
        <v>14</v>
      </c>
      <c r="M73" s="10">
        <v>9.23</v>
      </c>
      <c r="N73" s="8" t="s">
        <v>643</v>
      </c>
      <c r="O73" s="11">
        <v>0</v>
      </c>
      <c r="P73" s="21">
        <v>0</v>
      </c>
      <c r="Q73" s="5" t="s">
        <v>621</v>
      </c>
      <c r="R73" s="13" t="s">
        <v>656</v>
      </c>
      <c r="S73" s="5" t="str">
        <f>VLOOKUP(G73,[1]fc!$B$2:$D$707,3,0)</f>
        <v>24CS2258F</v>
      </c>
      <c r="T73" s="5" t="str">
        <f>VLOOKUP(G73,[1]fc!$B$2:$F$707,5,0)</f>
        <v>NATURAL LANGUAGE PROCESSING</v>
      </c>
      <c r="U73" s="14" t="s">
        <v>664</v>
      </c>
      <c r="V73" s="15" t="s">
        <v>665</v>
      </c>
      <c r="W73" s="15" t="s">
        <v>666</v>
      </c>
      <c r="X73" s="15" t="s">
        <v>667</v>
      </c>
      <c r="Y73" s="15" t="s">
        <v>668</v>
      </c>
      <c r="Z73" s="24" t="s">
        <v>669</v>
      </c>
      <c r="AA73" s="1" t="s">
        <v>672</v>
      </c>
      <c r="AB73" s="1" t="s">
        <v>673</v>
      </c>
      <c r="AC73" s="5"/>
      <c r="AD73" s="5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 spans="1:52" x14ac:dyDescent="0.3">
      <c r="A74" s="6">
        <v>73</v>
      </c>
      <c r="B74" s="7">
        <v>46177.764826388891</v>
      </c>
      <c r="C74" s="7">
        <v>46177.769108796296</v>
      </c>
      <c r="D74" s="8" t="s">
        <v>546</v>
      </c>
      <c r="E74" s="8" t="s">
        <v>547</v>
      </c>
      <c r="F74" s="7"/>
      <c r="G74" s="9">
        <v>2400031964</v>
      </c>
      <c r="H74" s="8" t="s">
        <v>548</v>
      </c>
      <c r="I74" s="8" t="s">
        <v>12</v>
      </c>
      <c r="J74" s="8" t="s">
        <v>13</v>
      </c>
      <c r="K74" s="8" t="s">
        <v>15</v>
      </c>
      <c r="L74" s="8" t="s">
        <v>14</v>
      </c>
      <c r="M74" s="10">
        <v>8.7100000000000009</v>
      </c>
      <c r="N74" s="8" t="s">
        <v>643</v>
      </c>
      <c r="O74" s="11">
        <v>0</v>
      </c>
      <c r="P74" s="12">
        <v>0</v>
      </c>
      <c r="Q74" s="5" t="s">
        <v>621</v>
      </c>
      <c r="R74" s="13" t="s">
        <v>656</v>
      </c>
      <c r="S74" s="5" t="str">
        <f>VLOOKUP(G74,[1]fc!$B$2:$D$707,3,0)</f>
        <v>24CS2258F</v>
      </c>
      <c r="T74" s="5" t="str">
        <f>VLOOKUP(G74,[1]fc!$B$2:$F$707,5,0)</f>
        <v>NATURAL LANGUAGE PROCESSING</v>
      </c>
      <c r="U74" s="14" t="s">
        <v>664</v>
      </c>
      <c r="V74" s="15" t="s">
        <v>665</v>
      </c>
      <c r="W74" s="15" t="s">
        <v>666</v>
      </c>
      <c r="X74" s="15" t="s">
        <v>667</v>
      </c>
      <c r="Y74" s="15" t="s">
        <v>668</v>
      </c>
      <c r="Z74" s="24" t="s">
        <v>669</v>
      </c>
      <c r="AA74" s="1" t="s">
        <v>672</v>
      </c>
      <c r="AB74" s="1" t="s">
        <v>673</v>
      </c>
      <c r="AC74" s="5"/>
      <c r="AD74" s="5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 spans="1:52" x14ac:dyDescent="0.3">
      <c r="A75" s="16">
        <v>74</v>
      </c>
      <c r="B75" s="7">
        <v>46177.685891203706</v>
      </c>
      <c r="C75" s="7">
        <v>46177.686597222222</v>
      </c>
      <c r="D75" s="8" t="s">
        <v>510</v>
      </c>
      <c r="E75" s="8" t="s">
        <v>511</v>
      </c>
      <c r="F75" s="7"/>
      <c r="G75" s="9">
        <v>2400033193</v>
      </c>
      <c r="H75" s="8" t="s">
        <v>512</v>
      </c>
      <c r="I75" s="8" t="s">
        <v>12</v>
      </c>
      <c r="J75" s="8" t="s">
        <v>13</v>
      </c>
      <c r="K75" s="8" t="s">
        <v>15</v>
      </c>
      <c r="L75" s="8" t="s">
        <v>14</v>
      </c>
      <c r="M75" s="10">
        <v>8.02</v>
      </c>
      <c r="N75" s="8" t="s">
        <v>630</v>
      </c>
      <c r="O75" s="11">
        <v>0</v>
      </c>
      <c r="P75" s="21">
        <v>0</v>
      </c>
      <c r="Q75" s="5" t="s">
        <v>621</v>
      </c>
      <c r="R75" s="13" t="s">
        <v>656</v>
      </c>
      <c r="S75" s="5" t="str">
        <f>VLOOKUP(G75,[1]fc!$B$2:$D$707,3,0)</f>
        <v>24CS2264F</v>
      </c>
      <c r="T75" s="5" t="str">
        <f>VLOOKUP(G75,[1]fc!$B$2:$F$707,5,0)</f>
        <v>GAME SYSTEMS DESIGN AND DEVELOPMENT</v>
      </c>
      <c r="U75" s="14" t="s">
        <v>664</v>
      </c>
      <c r="V75" s="15" t="s">
        <v>665</v>
      </c>
      <c r="W75" s="15" t="s">
        <v>666</v>
      </c>
      <c r="X75" s="15" t="s">
        <v>667</v>
      </c>
      <c r="Y75" s="15" t="s">
        <v>668</v>
      </c>
      <c r="Z75" s="24" t="s">
        <v>669</v>
      </c>
      <c r="AA75" s="1" t="s">
        <v>672</v>
      </c>
      <c r="AB75" s="1" t="s">
        <v>673</v>
      </c>
      <c r="AC75" s="5"/>
      <c r="AD75" s="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 spans="1:52" x14ac:dyDescent="0.3">
      <c r="A76" s="6">
        <v>75</v>
      </c>
      <c r="B76" s="17">
        <v>46207.643680555557</v>
      </c>
      <c r="C76" s="17">
        <v>46207.644988425927</v>
      </c>
      <c r="D76" s="18" t="s">
        <v>591</v>
      </c>
      <c r="E76" s="18" t="s">
        <v>592</v>
      </c>
      <c r="F76" s="17"/>
      <c r="G76" s="19">
        <v>2400032449</v>
      </c>
      <c r="H76" s="18" t="s">
        <v>593</v>
      </c>
      <c r="I76" s="18" t="s">
        <v>12</v>
      </c>
      <c r="J76" s="18" t="s">
        <v>13</v>
      </c>
      <c r="K76" s="18" t="s">
        <v>15</v>
      </c>
      <c r="L76" s="18" t="s">
        <v>14</v>
      </c>
      <c r="M76" s="20">
        <v>8.42</v>
      </c>
      <c r="N76" s="18" t="s">
        <v>651</v>
      </c>
      <c r="O76" s="11">
        <v>0</v>
      </c>
      <c r="P76" s="12">
        <v>0</v>
      </c>
      <c r="Q76" s="5" t="s">
        <v>621</v>
      </c>
      <c r="R76" s="13" t="s">
        <v>656</v>
      </c>
      <c r="S76" s="5" t="str">
        <f>VLOOKUP(G76,[1]fc!$B$2:$D$707,3,0)</f>
        <v>24CS2237F</v>
      </c>
      <c r="T76" s="5" t="str">
        <f>VLOOKUP(G76,[1]fc!$B$2:$F$707,5,0)</f>
        <v>QUANTUM COMPUTING</v>
      </c>
      <c r="U76" s="14" t="s">
        <v>664</v>
      </c>
      <c r="V76" s="15" t="s">
        <v>665</v>
      </c>
      <c r="W76" s="15" t="s">
        <v>666</v>
      </c>
      <c r="X76" s="15" t="s">
        <v>667</v>
      </c>
      <c r="Y76" s="15" t="s">
        <v>668</v>
      </c>
      <c r="Z76" s="24" t="s">
        <v>669</v>
      </c>
      <c r="AA76" s="1" t="s">
        <v>672</v>
      </c>
      <c r="AB76" s="1" t="s">
        <v>673</v>
      </c>
      <c r="AC76" s="5"/>
      <c r="AD76" s="5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</row>
    <row r="77" spans="1:52" x14ac:dyDescent="0.3">
      <c r="A77" s="16">
        <v>76</v>
      </c>
      <c r="B77" s="7">
        <v>46146.476180555554</v>
      </c>
      <c r="C77" s="7">
        <v>46146.476793981485</v>
      </c>
      <c r="D77" s="8" t="s">
        <v>153</v>
      </c>
      <c r="E77" s="8" t="s">
        <v>154</v>
      </c>
      <c r="F77" s="7"/>
      <c r="G77" s="9">
        <v>2400031500</v>
      </c>
      <c r="H77" s="8" t="s">
        <v>155</v>
      </c>
      <c r="I77" s="8" t="s">
        <v>12</v>
      </c>
      <c r="J77" s="8" t="s">
        <v>13</v>
      </c>
      <c r="K77" s="8" t="s">
        <v>15</v>
      </c>
      <c r="L77" s="8" t="s">
        <v>14</v>
      </c>
      <c r="M77" s="10">
        <v>8.9700000000000006</v>
      </c>
      <c r="N77" s="8" t="s">
        <v>645</v>
      </c>
      <c r="O77" s="11">
        <v>0</v>
      </c>
      <c r="P77" s="21">
        <v>0</v>
      </c>
      <c r="Q77" s="5" t="s">
        <v>621</v>
      </c>
      <c r="R77" s="13" t="s">
        <v>656</v>
      </c>
      <c r="S77" s="5" t="str">
        <f>VLOOKUP(G77,[1]fc!$B$2:$D$707,3,0)</f>
        <v>24CS2258F</v>
      </c>
      <c r="T77" s="5" t="str">
        <f>VLOOKUP(G77,[1]fc!$B$2:$F$707,5,0)</f>
        <v>NATURAL LANGUAGE PROCESSING</v>
      </c>
      <c r="U77" s="14" t="s">
        <v>664</v>
      </c>
      <c r="V77" s="15" t="s">
        <v>665</v>
      </c>
      <c r="W77" s="15" t="s">
        <v>666</v>
      </c>
      <c r="X77" s="15" t="s">
        <v>667</v>
      </c>
      <c r="Y77" s="15" t="s">
        <v>668</v>
      </c>
      <c r="Z77" s="24" t="s">
        <v>669</v>
      </c>
      <c r="AA77" s="1" t="s">
        <v>672</v>
      </c>
      <c r="AB77" s="1" t="s">
        <v>673</v>
      </c>
      <c r="AC77" s="5"/>
      <c r="AD77" s="5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</row>
    <row r="78" spans="1:52" x14ac:dyDescent="0.3">
      <c r="A78" s="6">
        <v>77</v>
      </c>
      <c r="B78" s="17">
        <v>46177.775092592594</v>
      </c>
      <c r="C78" s="17">
        <v>46177.776226851849</v>
      </c>
      <c r="D78" s="18" t="s">
        <v>549</v>
      </c>
      <c r="E78" s="18" t="s">
        <v>550</v>
      </c>
      <c r="F78" s="17"/>
      <c r="G78" s="19">
        <v>2400032840</v>
      </c>
      <c r="H78" s="18" t="s">
        <v>551</v>
      </c>
      <c r="I78" s="18" t="s">
        <v>12</v>
      </c>
      <c r="J78" s="18" t="s">
        <v>13</v>
      </c>
      <c r="K78" s="18" t="s">
        <v>16</v>
      </c>
      <c r="L78" s="18" t="s">
        <v>14</v>
      </c>
      <c r="M78" s="20">
        <v>8.76</v>
      </c>
      <c r="N78" s="18" t="s">
        <v>643</v>
      </c>
      <c r="O78" s="11">
        <v>0</v>
      </c>
      <c r="P78" s="21">
        <v>0</v>
      </c>
      <c r="Q78" s="5" t="s">
        <v>616</v>
      </c>
      <c r="R78" s="13" t="s">
        <v>656</v>
      </c>
      <c r="S78" s="5" t="str">
        <f>VLOOKUP(G78,[1]fc!$B$2:$D$707,3,0)</f>
        <v>24CS2227F</v>
      </c>
      <c r="T78" s="5" t="str">
        <f>VLOOKUP(G78,[1]fc!$B$2:$F$707,5,0)</f>
        <v>DATA ANALYTICS AND VISUALIZATION</v>
      </c>
      <c r="U78" s="14" t="s">
        <v>664</v>
      </c>
      <c r="V78" s="15" t="s">
        <v>665</v>
      </c>
      <c r="W78" s="15" t="s">
        <v>666</v>
      </c>
      <c r="X78" s="15" t="s">
        <v>667</v>
      </c>
      <c r="Y78" s="15" t="s">
        <v>668</v>
      </c>
      <c r="Z78" s="24" t="s">
        <v>669</v>
      </c>
      <c r="AA78" s="1" t="s">
        <v>672</v>
      </c>
      <c r="AB78" s="1" t="s">
        <v>673</v>
      </c>
      <c r="AC78" s="5"/>
      <c r="AD78" s="5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 spans="1:52" x14ac:dyDescent="0.3">
      <c r="A79" s="16">
        <v>78</v>
      </c>
      <c r="B79" s="17">
        <v>46177.952511574076</v>
      </c>
      <c r="C79" s="17">
        <v>46177.952893518515</v>
      </c>
      <c r="D79" s="18" t="s">
        <v>564</v>
      </c>
      <c r="E79" s="18" t="s">
        <v>565</v>
      </c>
      <c r="F79" s="17"/>
      <c r="G79" s="19">
        <v>2400032810</v>
      </c>
      <c r="H79" s="18" t="s">
        <v>566</v>
      </c>
      <c r="I79" s="18" t="s">
        <v>12</v>
      </c>
      <c r="J79" s="18" t="s">
        <v>21</v>
      </c>
      <c r="K79" s="18" t="s">
        <v>15</v>
      </c>
      <c r="L79" s="18" t="s">
        <v>14</v>
      </c>
      <c r="M79" s="20">
        <v>8.68</v>
      </c>
      <c r="N79" s="18" t="s">
        <v>643</v>
      </c>
      <c r="O79" s="11">
        <v>0</v>
      </c>
      <c r="P79" s="21">
        <v>0</v>
      </c>
      <c r="Q79" s="5" t="s">
        <v>616</v>
      </c>
      <c r="R79" s="13" t="s">
        <v>656</v>
      </c>
      <c r="S79" s="5" t="str">
        <f>VLOOKUP(G79,[1]fc!$B$2:$D$707,3,0)</f>
        <v>24CS2239F</v>
      </c>
      <c r="T79" s="5" t="str">
        <f>VLOOKUP(G79,[1]fc!$B$2:$F$707,5,0)</f>
        <v>SOFTWARE VERIFICATION AND VALIDATION</v>
      </c>
      <c r="U79" s="14" t="s">
        <v>664</v>
      </c>
      <c r="V79" s="15" t="s">
        <v>665</v>
      </c>
      <c r="W79" s="15" t="s">
        <v>666</v>
      </c>
      <c r="X79" s="15" t="s">
        <v>667</v>
      </c>
      <c r="Y79" s="15" t="s">
        <v>668</v>
      </c>
      <c r="Z79" s="24" t="s">
        <v>669</v>
      </c>
      <c r="AA79" s="1" t="s">
        <v>672</v>
      </c>
      <c r="AB79" s="1" t="s">
        <v>673</v>
      </c>
      <c r="AC79" s="5"/>
      <c r="AD79" s="5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 spans="1:52" x14ac:dyDescent="0.3">
      <c r="A80" s="6">
        <v>79</v>
      </c>
      <c r="B80" s="7">
        <v>46177.454699074071</v>
      </c>
      <c r="C80" s="7">
        <v>46177.455312500002</v>
      </c>
      <c r="D80" s="8" t="s">
        <v>381</v>
      </c>
      <c r="E80" s="8" t="s">
        <v>382</v>
      </c>
      <c r="F80" s="7"/>
      <c r="G80" s="9">
        <v>2400031959</v>
      </c>
      <c r="H80" s="8" t="s">
        <v>383</v>
      </c>
      <c r="I80" s="8" t="s">
        <v>12</v>
      </c>
      <c r="J80" s="8" t="s">
        <v>13</v>
      </c>
      <c r="K80" s="8" t="s">
        <v>15</v>
      </c>
      <c r="L80" s="8" t="s">
        <v>14</v>
      </c>
      <c r="M80" s="10">
        <v>8.82</v>
      </c>
      <c r="N80" s="8" t="s">
        <v>645</v>
      </c>
      <c r="O80" s="11">
        <v>0</v>
      </c>
      <c r="P80" s="21">
        <v>0</v>
      </c>
      <c r="Q80" s="5" t="s">
        <v>621</v>
      </c>
      <c r="R80" s="13" t="s">
        <v>656</v>
      </c>
      <c r="S80" s="5" t="str">
        <f>VLOOKUP(G80,[1]fc!$B$2:$D$707,3,0)</f>
        <v>24CS2258F</v>
      </c>
      <c r="T80" s="5" t="str">
        <f>VLOOKUP(G80,[1]fc!$B$2:$F$707,5,0)</f>
        <v>NATURAL LANGUAGE PROCESSING</v>
      </c>
      <c r="U80" s="14" t="s">
        <v>664</v>
      </c>
      <c r="V80" s="15" t="s">
        <v>665</v>
      </c>
      <c r="W80" s="15" t="s">
        <v>666</v>
      </c>
      <c r="X80" s="15" t="s">
        <v>667</v>
      </c>
      <c r="Y80" s="15" t="s">
        <v>668</v>
      </c>
      <c r="Z80" s="24" t="s">
        <v>669</v>
      </c>
      <c r="AA80" s="1" t="s">
        <v>672</v>
      </c>
      <c r="AB80" s="1" t="s">
        <v>673</v>
      </c>
      <c r="AC80" s="5"/>
      <c r="AD80" s="5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 spans="1:52" x14ac:dyDescent="0.3">
      <c r="A81" s="16">
        <v>80</v>
      </c>
      <c r="B81" s="17">
        <v>46146.404432870368</v>
      </c>
      <c r="C81" s="17">
        <v>46146.406053240738</v>
      </c>
      <c r="D81" s="18" t="s">
        <v>78</v>
      </c>
      <c r="E81" s="18" t="s">
        <v>79</v>
      </c>
      <c r="F81" s="17"/>
      <c r="G81" s="19">
        <v>2400031254</v>
      </c>
      <c r="H81" s="18" t="s">
        <v>80</v>
      </c>
      <c r="I81" s="18" t="s">
        <v>12</v>
      </c>
      <c r="J81" s="18" t="s">
        <v>13</v>
      </c>
      <c r="K81" s="18" t="s">
        <v>15</v>
      </c>
      <c r="L81" s="18" t="s">
        <v>14</v>
      </c>
      <c r="M81" s="20">
        <v>8.2200000000000006</v>
      </c>
      <c r="N81" s="18" t="s">
        <v>642</v>
      </c>
      <c r="O81" s="11">
        <v>0</v>
      </c>
      <c r="P81" s="21">
        <v>0</v>
      </c>
      <c r="Q81" s="5" t="s">
        <v>621</v>
      </c>
      <c r="R81" s="13" t="s">
        <v>656</v>
      </c>
      <c r="S81" s="5" t="str">
        <f>VLOOKUP(G81,[1]fc!$B$2:$D$707,3,0)</f>
        <v>24CS2239F</v>
      </c>
      <c r="T81" s="5" t="str">
        <f>VLOOKUP(G81,[1]fc!$B$2:$F$707,5,0)</f>
        <v>SOFTWARE VERIFICATION AND VALIDATION</v>
      </c>
      <c r="U81" s="22" t="s">
        <v>664</v>
      </c>
      <c r="V81" s="22" t="s">
        <v>665</v>
      </c>
      <c r="W81" s="22" t="s">
        <v>666</v>
      </c>
      <c r="X81" s="22" t="s">
        <v>667</v>
      </c>
      <c r="Y81" s="22" t="s">
        <v>668</v>
      </c>
      <c r="Z81" s="22" t="s">
        <v>669</v>
      </c>
      <c r="AA81" s="5"/>
      <c r="AB81" s="5"/>
      <c r="AC81" s="5"/>
      <c r="AD81" s="5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1:52" x14ac:dyDescent="0.3">
      <c r="A82" s="6">
        <v>81</v>
      </c>
      <c r="B82" s="7">
        <v>46146.016967592594</v>
      </c>
      <c r="C82" s="7">
        <v>46146.017465277779</v>
      </c>
      <c r="D82" s="8" t="s">
        <v>34</v>
      </c>
      <c r="E82" s="8" t="s">
        <v>35</v>
      </c>
      <c r="F82" s="7"/>
      <c r="G82" s="9">
        <v>2400032574</v>
      </c>
      <c r="H82" s="8" t="s">
        <v>36</v>
      </c>
      <c r="I82" s="8" t="s">
        <v>12</v>
      </c>
      <c r="J82" s="8" t="s">
        <v>13</v>
      </c>
      <c r="K82" s="8" t="s">
        <v>16</v>
      </c>
      <c r="L82" s="8" t="s">
        <v>14</v>
      </c>
      <c r="M82" s="10">
        <v>8.6999999999999993</v>
      </c>
      <c r="N82" s="8" t="s">
        <v>630</v>
      </c>
      <c r="O82" s="11">
        <v>0</v>
      </c>
      <c r="P82" s="21">
        <v>0</v>
      </c>
      <c r="Q82" s="5" t="s">
        <v>615</v>
      </c>
      <c r="R82" s="13" t="s">
        <v>656</v>
      </c>
      <c r="S82" s="5" t="str">
        <f>VLOOKUP(G82,[1]fc!$B$2:$D$707,3,0)</f>
        <v>24CS2256F</v>
      </c>
      <c r="T82" s="5" t="str">
        <f>VLOOKUP(G82,[1]fc!$B$2:$F$707,5,0)</f>
        <v>FOUNDATIONS OF BLOCK CHAIN ENGINEERING</v>
      </c>
      <c r="U82" s="1" t="s">
        <v>664</v>
      </c>
      <c r="V82" s="1" t="s">
        <v>665</v>
      </c>
      <c r="W82" s="1" t="s">
        <v>666</v>
      </c>
      <c r="X82" s="1" t="s">
        <v>667</v>
      </c>
      <c r="Y82" s="14" t="s">
        <v>672</v>
      </c>
      <c r="Z82" s="24" t="s">
        <v>673</v>
      </c>
      <c r="AA82" s="1" t="s">
        <v>675</v>
      </c>
      <c r="AB82" s="1" t="s">
        <v>676</v>
      </c>
      <c r="AC82" s="5"/>
      <c r="AD82" s="5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1:52" x14ac:dyDescent="0.3">
      <c r="A83" s="16">
        <v>82</v>
      </c>
      <c r="B83" s="7">
        <v>46146.378831018519</v>
      </c>
      <c r="C83" s="7">
        <v>46146.380648148152</v>
      </c>
      <c r="D83" s="8" t="s">
        <v>52</v>
      </c>
      <c r="E83" s="8" t="s">
        <v>52</v>
      </c>
      <c r="F83" s="7"/>
      <c r="G83" s="9">
        <v>2400033341</v>
      </c>
      <c r="H83" s="8" t="s">
        <v>53</v>
      </c>
      <c r="I83" s="8" t="s">
        <v>12</v>
      </c>
      <c r="J83" s="8" t="s">
        <v>13</v>
      </c>
      <c r="K83" s="8" t="s">
        <v>16</v>
      </c>
      <c r="L83" s="8" t="s">
        <v>14</v>
      </c>
      <c r="M83" s="10">
        <v>8.49</v>
      </c>
      <c r="N83" s="8" t="s">
        <v>630</v>
      </c>
      <c r="O83" s="11">
        <v>0</v>
      </c>
      <c r="P83" s="21">
        <v>0</v>
      </c>
      <c r="Q83" s="5" t="s">
        <v>617</v>
      </c>
      <c r="R83" s="13" t="s">
        <v>656</v>
      </c>
      <c r="S83" s="5" t="str">
        <f>VLOOKUP(G83,[1]fc!$B$2:$D$707,3,0)</f>
        <v>24CS2255F</v>
      </c>
      <c r="T83" s="5" t="str">
        <f>VLOOKUP(G83,[1]fc!$B$2:$F$707,5,0)</f>
        <v>ADVANCED DATA STRUCTURES</v>
      </c>
      <c r="U83" s="1" t="s">
        <v>664</v>
      </c>
      <c r="V83" s="1" t="s">
        <v>665</v>
      </c>
      <c r="W83" s="1" t="s">
        <v>666</v>
      </c>
      <c r="X83" s="1" t="s">
        <v>667</v>
      </c>
      <c r="Y83" s="14" t="s">
        <v>672</v>
      </c>
      <c r="Z83" s="24" t="s">
        <v>673</v>
      </c>
      <c r="AA83" s="1" t="s">
        <v>675</v>
      </c>
      <c r="AB83" s="1" t="s">
        <v>676</v>
      </c>
      <c r="AC83" s="5"/>
      <c r="AD83" s="5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1:52" x14ac:dyDescent="0.3">
      <c r="A84" s="6">
        <v>83</v>
      </c>
      <c r="B84" s="17">
        <v>46146.471087962964</v>
      </c>
      <c r="C84" s="17">
        <v>46146.471574074072</v>
      </c>
      <c r="D84" s="18" t="s">
        <v>141</v>
      </c>
      <c r="E84" s="18" t="s">
        <v>142</v>
      </c>
      <c r="F84" s="17"/>
      <c r="G84" s="19">
        <v>2400033168</v>
      </c>
      <c r="H84" s="18" t="s">
        <v>143</v>
      </c>
      <c r="I84" s="18" t="s">
        <v>12</v>
      </c>
      <c r="J84" s="18" t="s">
        <v>13</v>
      </c>
      <c r="K84" s="18" t="s">
        <v>16</v>
      </c>
      <c r="L84" s="18" t="s">
        <v>14</v>
      </c>
      <c r="M84" s="20">
        <v>8.75</v>
      </c>
      <c r="N84" s="18" t="s">
        <v>630</v>
      </c>
      <c r="O84" s="11">
        <v>0</v>
      </c>
      <c r="P84" s="21">
        <v>0</v>
      </c>
      <c r="Q84" s="5" t="s">
        <v>615</v>
      </c>
      <c r="R84" s="13" t="s">
        <v>656</v>
      </c>
      <c r="S84" s="5" t="str">
        <f>VLOOKUP(G84,[1]fc!$B$2:$D$707,3,0)</f>
        <v>24CS2224F</v>
      </c>
      <c r="T84" s="5" t="str">
        <f>VLOOKUP(G84,[1]fc!$B$2:$F$707,5,0)</f>
        <v>CRYPT ANALYSIS AND CYBER DEFENCE</v>
      </c>
      <c r="U84" s="1" t="s">
        <v>664</v>
      </c>
      <c r="V84" s="1" t="s">
        <v>665</v>
      </c>
      <c r="W84" s="1" t="s">
        <v>666</v>
      </c>
      <c r="X84" s="1" t="s">
        <v>667</v>
      </c>
      <c r="Y84" s="14" t="s">
        <v>672</v>
      </c>
      <c r="Z84" s="24" t="s">
        <v>673</v>
      </c>
      <c r="AA84" s="1" t="s">
        <v>675</v>
      </c>
      <c r="AB84" s="1" t="s">
        <v>676</v>
      </c>
      <c r="AC84" s="5"/>
      <c r="AD84" s="5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 spans="1:52" x14ac:dyDescent="0.3">
      <c r="A85" s="16">
        <v>84</v>
      </c>
      <c r="B85" s="17">
        <v>46177.536921296298</v>
      </c>
      <c r="C85" s="17">
        <v>46177.53765046296</v>
      </c>
      <c r="D85" s="18" t="s">
        <v>411</v>
      </c>
      <c r="E85" s="18" t="s">
        <v>412</v>
      </c>
      <c r="F85" s="17"/>
      <c r="G85" s="19">
        <v>2400032968</v>
      </c>
      <c r="H85" s="18" t="s">
        <v>413</v>
      </c>
      <c r="I85" s="18" t="s">
        <v>12</v>
      </c>
      <c r="J85" s="18" t="s">
        <v>13</v>
      </c>
      <c r="K85" s="18" t="s">
        <v>15</v>
      </c>
      <c r="L85" s="18" t="s">
        <v>14</v>
      </c>
      <c r="M85" s="20">
        <v>8.2799999999999994</v>
      </c>
      <c r="N85" s="18" t="s">
        <v>630</v>
      </c>
      <c r="O85" s="11">
        <v>0</v>
      </c>
      <c r="P85" s="12">
        <v>0</v>
      </c>
      <c r="Q85" s="5" t="s">
        <v>615</v>
      </c>
      <c r="R85" s="13" t="s">
        <v>656</v>
      </c>
      <c r="S85" s="5" t="str">
        <f>VLOOKUP(G85,[1]fc!$B$2:$D$707,3,0)</f>
        <v>24CS2224F</v>
      </c>
      <c r="T85" s="5" t="str">
        <f>VLOOKUP(G85,[1]fc!$B$2:$F$707,5,0)</f>
        <v>CRYPT ANALYSIS AND CYBER DEFENCE</v>
      </c>
      <c r="U85" s="1" t="s">
        <v>664</v>
      </c>
      <c r="V85" s="1" t="s">
        <v>665</v>
      </c>
      <c r="W85" s="1" t="s">
        <v>666</v>
      </c>
      <c r="X85" s="1" t="s">
        <v>667</v>
      </c>
      <c r="Y85" s="14" t="s">
        <v>672</v>
      </c>
      <c r="Z85" s="24" t="s">
        <v>673</v>
      </c>
      <c r="AA85" s="1" t="s">
        <v>675</v>
      </c>
      <c r="AB85" s="1" t="s">
        <v>676</v>
      </c>
      <c r="AC85" s="5"/>
      <c r="AD85" s="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 spans="1:52" x14ac:dyDescent="0.3">
      <c r="A86" s="6">
        <v>85</v>
      </c>
      <c r="B86" s="17">
        <v>46177.443749999999</v>
      </c>
      <c r="C86" s="17">
        <v>46177.444155092591</v>
      </c>
      <c r="D86" s="18" t="s">
        <v>363</v>
      </c>
      <c r="E86" s="18" t="s">
        <v>364</v>
      </c>
      <c r="F86" s="17"/>
      <c r="G86" s="19">
        <v>2400033070</v>
      </c>
      <c r="H86" s="18" t="s">
        <v>365</v>
      </c>
      <c r="I86" s="18" t="s">
        <v>12</v>
      </c>
      <c r="J86" s="18" t="s">
        <v>13</v>
      </c>
      <c r="K86" s="18" t="s">
        <v>15</v>
      </c>
      <c r="L86" s="18" t="s">
        <v>14</v>
      </c>
      <c r="M86" s="20">
        <v>8.8800000000000008</v>
      </c>
      <c r="N86" s="18" t="s">
        <v>640</v>
      </c>
      <c r="O86" s="11">
        <v>0</v>
      </c>
      <c r="P86" s="12">
        <v>0</v>
      </c>
      <c r="Q86" s="5" t="s">
        <v>621</v>
      </c>
      <c r="R86" s="13" t="s">
        <v>656</v>
      </c>
      <c r="S86" s="5" t="str">
        <f>VLOOKUP(G86,[1]fc!$B$2:$D$707,3,0)</f>
        <v>24CS2256F</v>
      </c>
      <c r="T86" s="5" t="str">
        <f>VLOOKUP(G86,[1]fc!$B$2:$F$707,5,0)</f>
        <v>FOUNDATIONS OF BLOCK CHAIN ENGINEERING</v>
      </c>
      <c r="U86" s="14" t="s">
        <v>664</v>
      </c>
      <c r="V86" s="15" t="s">
        <v>665</v>
      </c>
      <c r="W86" s="15" t="s">
        <v>666</v>
      </c>
      <c r="X86" s="15" t="s">
        <v>667</v>
      </c>
      <c r="Y86" s="15" t="s">
        <v>668</v>
      </c>
      <c r="Z86" s="24" t="s">
        <v>669</v>
      </c>
      <c r="AA86" s="1" t="s">
        <v>672</v>
      </c>
      <c r="AB86" s="1" t="s">
        <v>673</v>
      </c>
      <c r="AC86" s="5"/>
      <c r="AD86" s="5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</row>
    <row r="87" spans="1:52" x14ac:dyDescent="0.3">
      <c r="A87" s="16">
        <v>86</v>
      </c>
      <c r="B87" s="7">
        <v>46146.489062499997</v>
      </c>
      <c r="C87" s="7">
        <v>46146.489386574074</v>
      </c>
      <c r="D87" s="8" t="s">
        <v>159</v>
      </c>
      <c r="E87" s="8" t="s">
        <v>160</v>
      </c>
      <c r="F87" s="7"/>
      <c r="G87" s="9">
        <v>2400033225</v>
      </c>
      <c r="H87" s="8" t="s">
        <v>161</v>
      </c>
      <c r="I87" s="8" t="s">
        <v>12</v>
      </c>
      <c r="J87" s="8" t="s">
        <v>13</v>
      </c>
      <c r="K87" s="8" t="s">
        <v>16</v>
      </c>
      <c r="L87" s="8" t="s">
        <v>14</v>
      </c>
      <c r="M87" s="10">
        <v>9.51</v>
      </c>
      <c r="N87" s="8" t="s">
        <v>632</v>
      </c>
      <c r="O87" s="11">
        <v>0</v>
      </c>
      <c r="P87" s="21">
        <v>0</v>
      </c>
      <c r="Q87" s="5" t="s">
        <v>621</v>
      </c>
      <c r="R87" s="13" t="s">
        <v>656</v>
      </c>
      <c r="S87" s="5" t="str">
        <f>VLOOKUP(G87,[1]fc!$B$2:$D$707,3,0)</f>
        <v>24CS2255F</v>
      </c>
      <c r="T87" s="5" t="str">
        <f>VLOOKUP(G87,[1]fc!$B$2:$F$707,5,0)</f>
        <v>ADVANCED DATA STRUCTURES</v>
      </c>
      <c r="U87" s="14" t="s">
        <v>664</v>
      </c>
      <c r="V87" s="15" t="s">
        <v>665</v>
      </c>
      <c r="W87" s="15" t="s">
        <v>666</v>
      </c>
      <c r="X87" s="15" t="s">
        <v>667</v>
      </c>
      <c r="Y87" s="15" t="s">
        <v>668</v>
      </c>
      <c r="Z87" s="24" t="s">
        <v>669</v>
      </c>
      <c r="AA87" s="1" t="s">
        <v>672</v>
      </c>
      <c r="AB87" s="1" t="s">
        <v>673</v>
      </c>
      <c r="AC87" s="5"/>
      <c r="AD87" s="5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 spans="1:52" x14ac:dyDescent="0.3">
      <c r="A88" s="6">
        <v>87</v>
      </c>
      <c r="B88" s="7">
        <v>46207.420995370368</v>
      </c>
      <c r="C88" s="7">
        <v>46207.421400462961</v>
      </c>
      <c r="D88" s="8" t="s">
        <v>576</v>
      </c>
      <c r="E88" s="8" t="s">
        <v>577</v>
      </c>
      <c r="F88" s="7"/>
      <c r="G88" s="9">
        <v>2400032922</v>
      </c>
      <c r="H88" s="8" t="s">
        <v>578</v>
      </c>
      <c r="I88" s="8" t="s">
        <v>12</v>
      </c>
      <c r="J88" s="8" t="s">
        <v>13</v>
      </c>
      <c r="K88" s="8" t="s">
        <v>16</v>
      </c>
      <c r="L88" s="8" t="s">
        <v>14</v>
      </c>
      <c r="M88" s="10">
        <v>8.1300000000000008</v>
      </c>
      <c r="N88" s="8" t="s">
        <v>630</v>
      </c>
      <c r="O88" s="11">
        <v>0</v>
      </c>
      <c r="P88" s="21">
        <v>0</v>
      </c>
      <c r="Q88" s="5" t="s">
        <v>616</v>
      </c>
      <c r="R88" s="13" t="s">
        <v>656</v>
      </c>
      <c r="S88" s="5" t="str">
        <f>VLOOKUP(G88,[1]fc!$B$2:$D$707,3,0)</f>
        <v>24CS2239F</v>
      </c>
      <c r="T88" s="5" t="str">
        <f>VLOOKUP(G88,[1]fc!$B$2:$F$707,5,0)</f>
        <v>SOFTWARE VERIFICATION AND VALIDATION</v>
      </c>
      <c r="U88" s="14" t="s">
        <v>664</v>
      </c>
      <c r="V88" s="15" t="s">
        <v>665</v>
      </c>
      <c r="W88" s="15" t="s">
        <v>666</v>
      </c>
      <c r="X88" s="15" t="s">
        <v>667</v>
      </c>
      <c r="Y88" s="15" t="s">
        <v>668</v>
      </c>
      <c r="Z88" s="24" t="s">
        <v>669</v>
      </c>
      <c r="AA88" s="1" t="s">
        <v>672</v>
      </c>
      <c r="AB88" s="1" t="s">
        <v>673</v>
      </c>
      <c r="AC88" s="5"/>
      <c r="AD88" s="5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 spans="1:52" x14ac:dyDescent="0.3">
      <c r="A89" s="16">
        <v>88</v>
      </c>
      <c r="B89" s="17">
        <v>46177.322025462963</v>
      </c>
      <c r="C89" s="17">
        <v>46177.322615740741</v>
      </c>
      <c r="D89" s="18" t="s">
        <v>336</v>
      </c>
      <c r="E89" s="18" t="s">
        <v>337</v>
      </c>
      <c r="F89" s="17"/>
      <c r="G89" s="19">
        <v>2400032287</v>
      </c>
      <c r="H89" s="18" t="s">
        <v>338</v>
      </c>
      <c r="I89" s="18" t="s">
        <v>12</v>
      </c>
      <c r="J89" s="18" t="s">
        <v>13</v>
      </c>
      <c r="K89" s="18" t="s">
        <v>16</v>
      </c>
      <c r="L89" s="18" t="s">
        <v>14</v>
      </c>
      <c r="M89" s="20">
        <v>9.07</v>
      </c>
      <c r="N89" s="18" t="s">
        <v>651</v>
      </c>
      <c r="O89" s="11">
        <v>0</v>
      </c>
      <c r="P89" s="21">
        <v>0</v>
      </c>
      <c r="Q89" s="5" t="s">
        <v>615</v>
      </c>
      <c r="R89" s="13" t="s">
        <v>656</v>
      </c>
      <c r="S89" s="5" t="str">
        <f>VLOOKUP(G89,[1]fc!$B$2:$D$707,3,0)</f>
        <v>24CS2256F</v>
      </c>
      <c r="T89" s="5" t="str">
        <f>VLOOKUP(G89,[1]fc!$B$2:$F$707,5,0)</f>
        <v>FOUNDATIONS OF BLOCK CHAIN ENGINEERING</v>
      </c>
      <c r="U89" s="1" t="s">
        <v>664</v>
      </c>
      <c r="V89" s="1" t="s">
        <v>665</v>
      </c>
      <c r="W89" s="1" t="s">
        <v>666</v>
      </c>
      <c r="X89" s="1" t="s">
        <v>667</v>
      </c>
      <c r="Y89" s="14" t="s">
        <v>672</v>
      </c>
      <c r="Z89" s="24" t="s">
        <v>673</v>
      </c>
      <c r="AA89" s="1" t="s">
        <v>675</v>
      </c>
      <c r="AB89" s="1" t="s">
        <v>676</v>
      </c>
      <c r="AC89" s="5"/>
      <c r="AD89" s="5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1:52" x14ac:dyDescent="0.3">
      <c r="A90" s="6">
        <v>89</v>
      </c>
      <c r="B90" s="17">
        <v>46177.557997685188</v>
      </c>
      <c r="C90" s="17">
        <v>46177.559050925927</v>
      </c>
      <c r="D90" s="18" t="s">
        <v>423</v>
      </c>
      <c r="E90" s="18" t="s">
        <v>424</v>
      </c>
      <c r="F90" s="17"/>
      <c r="G90" s="19">
        <v>2400032466</v>
      </c>
      <c r="H90" s="18" t="s">
        <v>425</v>
      </c>
      <c r="I90" s="18" t="s">
        <v>12</v>
      </c>
      <c r="J90" s="18" t="s">
        <v>13</v>
      </c>
      <c r="K90" s="18" t="s">
        <v>16</v>
      </c>
      <c r="L90" s="18" t="s">
        <v>14</v>
      </c>
      <c r="M90" s="20">
        <v>9.26</v>
      </c>
      <c r="N90" s="18" t="s">
        <v>651</v>
      </c>
      <c r="O90" s="11">
        <v>0</v>
      </c>
      <c r="P90" s="21">
        <v>0</v>
      </c>
      <c r="Q90" s="5" t="s">
        <v>615</v>
      </c>
      <c r="R90" s="13" t="s">
        <v>656</v>
      </c>
      <c r="S90" s="5" t="str">
        <f>VLOOKUP(G90,[1]fc!$B$2:$D$707,3,0)</f>
        <v>24CS2260F</v>
      </c>
      <c r="T90" s="5" t="str">
        <f>VLOOKUP(G90,[1]fc!$B$2:$F$707,5,0)</f>
        <v>FOUNDATIONS OF CLOUD-NATIVE COMPUTING &amp; DEVOPS</v>
      </c>
      <c r="U90" s="1" t="s">
        <v>664</v>
      </c>
      <c r="V90" s="1" t="s">
        <v>665</v>
      </c>
      <c r="W90" s="1" t="s">
        <v>666</v>
      </c>
      <c r="X90" s="1" t="s">
        <v>667</v>
      </c>
      <c r="Y90" s="14" t="s">
        <v>672</v>
      </c>
      <c r="Z90" s="24" t="s">
        <v>673</v>
      </c>
      <c r="AA90" s="1" t="s">
        <v>675</v>
      </c>
      <c r="AB90" s="1" t="s">
        <v>676</v>
      </c>
      <c r="AC90" s="5"/>
      <c r="AD90" s="5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1:52" x14ac:dyDescent="0.3">
      <c r="A91" s="16">
        <v>90</v>
      </c>
      <c r="B91" s="17">
        <v>46177.583807870367</v>
      </c>
      <c r="C91" s="17">
        <v>46177.584386574075</v>
      </c>
      <c r="D91" s="18" t="s">
        <v>450</v>
      </c>
      <c r="E91" s="18" t="s">
        <v>451</v>
      </c>
      <c r="F91" s="17"/>
      <c r="G91" s="19">
        <v>2400032974</v>
      </c>
      <c r="H91" s="18" t="s">
        <v>452</v>
      </c>
      <c r="I91" s="18" t="s">
        <v>12</v>
      </c>
      <c r="J91" s="18" t="s">
        <v>13</v>
      </c>
      <c r="K91" s="18" t="s">
        <v>15</v>
      </c>
      <c r="L91" s="18" t="s">
        <v>14</v>
      </c>
      <c r="M91" s="20">
        <v>8.09</v>
      </c>
      <c r="N91" s="18" t="s">
        <v>651</v>
      </c>
      <c r="O91" s="11">
        <v>0</v>
      </c>
      <c r="P91" s="21">
        <v>0</v>
      </c>
      <c r="Q91" s="5" t="s">
        <v>615</v>
      </c>
      <c r="R91" s="13" t="s">
        <v>656</v>
      </c>
      <c r="S91" s="5" t="str">
        <f>VLOOKUP(G91,[1]fc!$B$2:$D$707,3,0)</f>
        <v>24CS2224F</v>
      </c>
      <c r="T91" s="5" t="str">
        <f>VLOOKUP(G91,[1]fc!$B$2:$F$707,5,0)</f>
        <v>CRYPT ANALYSIS AND CYBER DEFENCE</v>
      </c>
      <c r="U91" s="1" t="s">
        <v>664</v>
      </c>
      <c r="V91" s="1" t="s">
        <v>665</v>
      </c>
      <c r="W91" s="1" t="s">
        <v>666</v>
      </c>
      <c r="X91" s="1" t="s">
        <v>667</v>
      </c>
      <c r="Y91" s="14" t="s">
        <v>672</v>
      </c>
      <c r="Z91" s="24" t="s">
        <v>673</v>
      </c>
      <c r="AA91" s="1" t="s">
        <v>675</v>
      </c>
      <c r="AB91" s="1" t="s">
        <v>676</v>
      </c>
      <c r="AC91" s="5"/>
      <c r="AD91" s="5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1:52" x14ac:dyDescent="0.3">
      <c r="A92" s="6">
        <v>91</v>
      </c>
      <c r="B92" s="17">
        <v>46177.717303240737</v>
      </c>
      <c r="C92" s="17">
        <v>46177.717928240738</v>
      </c>
      <c r="D92" s="18" t="s">
        <v>531</v>
      </c>
      <c r="E92" s="18" t="s">
        <v>532</v>
      </c>
      <c r="F92" s="17"/>
      <c r="G92" s="19">
        <v>2400032955</v>
      </c>
      <c r="H92" s="18" t="s">
        <v>533</v>
      </c>
      <c r="I92" s="18" t="s">
        <v>12</v>
      </c>
      <c r="J92" s="18" t="s">
        <v>13</v>
      </c>
      <c r="K92" s="18" t="s">
        <v>15</v>
      </c>
      <c r="L92" s="18" t="s">
        <v>14</v>
      </c>
      <c r="M92" s="20">
        <v>8.5500000000000007</v>
      </c>
      <c r="N92" s="18" t="s">
        <v>651</v>
      </c>
      <c r="O92" s="11">
        <v>0</v>
      </c>
      <c r="P92" s="21">
        <v>0</v>
      </c>
      <c r="Q92" s="5" t="s">
        <v>613</v>
      </c>
      <c r="R92" s="13" t="s">
        <v>656</v>
      </c>
      <c r="S92" s="5" t="str">
        <f>VLOOKUP(G92,[1]fc!$B$2:$D$707,3,0)</f>
        <v>24CS2239F</v>
      </c>
      <c r="T92" s="5" t="str">
        <f>VLOOKUP(G92,[1]fc!$B$2:$F$707,5,0)</f>
        <v>SOFTWARE VERIFICATION AND VALIDATION</v>
      </c>
      <c r="U92" s="14" t="s">
        <v>664</v>
      </c>
      <c r="V92" s="15" t="s">
        <v>665</v>
      </c>
      <c r="W92" s="15" t="s">
        <v>666</v>
      </c>
      <c r="X92" s="15" t="s">
        <v>667</v>
      </c>
      <c r="Y92" s="15" t="s">
        <v>668</v>
      </c>
      <c r="Z92" s="24" t="s">
        <v>669</v>
      </c>
      <c r="AA92" s="1" t="s">
        <v>672</v>
      </c>
      <c r="AB92" s="1" t="s">
        <v>673</v>
      </c>
      <c r="AC92" s="5"/>
      <c r="AD92" s="5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1:52" x14ac:dyDescent="0.3">
      <c r="A93" s="16">
        <v>92</v>
      </c>
      <c r="B93" s="7">
        <v>46177.442662037036</v>
      </c>
      <c r="C93" s="7">
        <v>46177.443391203706</v>
      </c>
      <c r="D93" s="8" t="s">
        <v>360</v>
      </c>
      <c r="E93" s="8" t="s">
        <v>361</v>
      </c>
      <c r="F93" s="7"/>
      <c r="G93" s="9">
        <v>2400032383</v>
      </c>
      <c r="H93" s="8" t="s">
        <v>362</v>
      </c>
      <c r="I93" s="8" t="s">
        <v>12</v>
      </c>
      <c r="J93" s="8" t="s">
        <v>13</v>
      </c>
      <c r="K93" s="8" t="s">
        <v>16</v>
      </c>
      <c r="L93" s="8" t="s">
        <v>14</v>
      </c>
      <c r="M93" s="10">
        <v>8.51</v>
      </c>
      <c r="N93" s="8" t="s">
        <v>641</v>
      </c>
      <c r="O93" s="11">
        <v>0</v>
      </c>
      <c r="P93" s="12">
        <v>0</v>
      </c>
      <c r="Q93" s="5" t="s">
        <v>621</v>
      </c>
      <c r="R93" s="13" t="s">
        <v>656</v>
      </c>
      <c r="S93" s="5" t="str">
        <f>VLOOKUP(G93,[1]fc!$B$2:$D$707,3,0)</f>
        <v>24CS2264F</v>
      </c>
      <c r="T93" s="5" t="str">
        <f>VLOOKUP(G93,[1]fc!$B$2:$F$707,5,0)</f>
        <v>GAME SYSTEMS DESIGN AND DEVELOPMENT</v>
      </c>
      <c r="U93" s="14" t="s">
        <v>664</v>
      </c>
      <c r="V93" s="15" t="s">
        <v>665</v>
      </c>
      <c r="W93" s="15" t="s">
        <v>666</v>
      </c>
      <c r="X93" s="15" t="s">
        <v>667</v>
      </c>
      <c r="Y93" s="15" t="s">
        <v>668</v>
      </c>
      <c r="Z93" s="24" t="s">
        <v>669</v>
      </c>
      <c r="AA93" s="1" t="s">
        <v>672</v>
      </c>
      <c r="AB93" s="1" t="s">
        <v>673</v>
      </c>
      <c r="AC93" s="5"/>
      <c r="AD93" s="5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1:52" x14ac:dyDescent="0.3">
      <c r="A94" s="6">
        <v>93</v>
      </c>
      <c r="B94" s="17">
        <v>46146.414571759262</v>
      </c>
      <c r="C94" s="17">
        <v>46146.41605324074</v>
      </c>
      <c r="D94" s="18" t="s">
        <v>96</v>
      </c>
      <c r="E94" s="18" t="s">
        <v>97</v>
      </c>
      <c r="F94" s="17"/>
      <c r="G94" s="19">
        <v>2400030527</v>
      </c>
      <c r="H94" s="18" t="s">
        <v>98</v>
      </c>
      <c r="I94" s="18" t="s">
        <v>12</v>
      </c>
      <c r="J94" s="18" t="s">
        <v>13</v>
      </c>
      <c r="K94" s="18" t="s">
        <v>15</v>
      </c>
      <c r="L94" s="18" t="s">
        <v>14</v>
      </c>
      <c r="M94" s="20">
        <v>8.9499999999999993</v>
      </c>
      <c r="N94" s="18" t="s">
        <v>645</v>
      </c>
      <c r="O94" s="11">
        <v>0</v>
      </c>
      <c r="P94" s="21">
        <v>0</v>
      </c>
      <c r="Q94" s="5" t="s">
        <v>613</v>
      </c>
      <c r="R94" s="13" t="s">
        <v>656</v>
      </c>
      <c r="S94" s="5" t="str">
        <f>VLOOKUP(G94,[1]fc!$B$2:$D$707,3,0)</f>
        <v>24CS2258F</v>
      </c>
      <c r="T94" s="5" t="str">
        <f>VLOOKUP(G94,[1]fc!$B$2:$F$707,5,0)</f>
        <v>NATURAL LANGUAGE PROCESSING</v>
      </c>
      <c r="U94" s="14" t="s">
        <v>664</v>
      </c>
      <c r="V94" s="15" t="s">
        <v>665</v>
      </c>
      <c r="W94" s="15" t="s">
        <v>666</v>
      </c>
      <c r="X94" s="15" t="s">
        <v>667</v>
      </c>
      <c r="Y94" s="15" t="s">
        <v>668</v>
      </c>
      <c r="Z94" s="24" t="s">
        <v>669</v>
      </c>
      <c r="AA94" s="1" t="s">
        <v>672</v>
      </c>
      <c r="AB94" s="1" t="s">
        <v>673</v>
      </c>
      <c r="AC94" s="5"/>
      <c r="AD94" s="5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1:52" x14ac:dyDescent="0.3">
      <c r="A95" s="16">
        <v>94</v>
      </c>
      <c r="B95" s="17">
        <v>46207.393090277779</v>
      </c>
      <c r="C95" s="17">
        <v>46207.393472222226</v>
      </c>
      <c r="D95" s="18" t="s">
        <v>573</v>
      </c>
      <c r="E95" s="18" t="s">
        <v>574</v>
      </c>
      <c r="F95" s="17"/>
      <c r="G95" s="19">
        <v>2400031963</v>
      </c>
      <c r="H95" s="18" t="s">
        <v>575</v>
      </c>
      <c r="I95" s="18" t="s">
        <v>12</v>
      </c>
      <c r="J95" s="18" t="s">
        <v>13</v>
      </c>
      <c r="K95" s="18" t="s">
        <v>15</v>
      </c>
      <c r="L95" s="18" t="s">
        <v>14</v>
      </c>
      <c r="M95" s="20">
        <v>9.09</v>
      </c>
      <c r="N95" s="18" t="s">
        <v>641</v>
      </c>
      <c r="O95" s="11">
        <v>0</v>
      </c>
      <c r="P95" s="21">
        <v>0</v>
      </c>
      <c r="Q95" s="5" t="s">
        <v>621</v>
      </c>
      <c r="R95" s="13" t="s">
        <v>656</v>
      </c>
      <c r="S95" s="5" t="str">
        <f>VLOOKUP(G95,[1]fc!$B$2:$D$707,3,0)</f>
        <v>24CS2258F</v>
      </c>
      <c r="T95" s="5" t="str">
        <f>VLOOKUP(G95,[1]fc!$B$2:$F$707,5,0)</f>
        <v>NATURAL LANGUAGE PROCESSING</v>
      </c>
      <c r="U95" s="14" t="s">
        <v>664</v>
      </c>
      <c r="V95" s="15" t="s">
        <v>665</v>
      </c>
      <c r="W95" s="15" t="s">
        <v>666</v>
      </c>
      <c r="X95" s="15" t="s">
        <v>667</v>
      </c>
      <c r="Y95" s="15" t="s">
        <v>668</v>
      </c>
      <c r="Z95" s="24" t="s">
        <v>669</v>
      </c>
      <c r="AA95" s="1" t="s">
        <v>672</v>
      </c>
      <c r="AB95" s="1" t="s">
        <v>673</v>
      </c>
      <c r="AC95" s="5"/>
      <c r="AD95" s="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1:52" x14ac:dyDescent="0.3">
      <c r="A96" s="6">
        <v>95</v>
      </c>
      <c r="B96" s="7">
        <v>46146.974803240744</v>
      </c>
      <c r="C96" s="7">
        <v>46146.975254629629</v>
      </c>
      <c r="D96" s="8" t="s">
        <v>297</v>
      </c>
      <c r="E96" s="8" t="s">
        <v>298</v>
      </c>
      <c r="F96" s="7"/>
      <c r="G96" s="9">
        <v>2400031946</v>
      </c>
      <c r="H96" s="8" t="s">
        <v>299</v>
      </c>
      <c r="I96" s="8" t="s">
        <v>12</v>
      </c>
      <c r="J96" s="8" t="s">
        <v>13</v>
      </c>
      <c r="K96" s="8" t="s">
        <v>16</v>
      </c>
      <c r="L96" s="8" t="s">
        <v>14</v>
      </c>
      <c r="M96" s="10">
        <v>8.83</v>
      </c>
      <c r="N96" s="8" t="s">
        <v>645</v>
      </c>
      <c r="O96" s="11">
        <v>0</v>
      </c>
      <c r="P96" s="21">
        <v>0</v>
      </c>
      <c r="Q96" s="5" t="s">
        <v>622</v>
      </c>
      <c r="R96" s="13" t="s">
        <v>656</v>
      </c>
      <c r="S96" s="5" t="str">
        <f>VLOOKUP(G96,[1]fc!$B$2:$D$707,3,0)</f>
        <v>24CS2264F</v>
      </c>
      <c r="T96" s="5" t="str">
        <f>VLOOKUP(G96,[1]fc!$B$2:$F$707,5,0)</f>
        <v>GAME SYSTEMS DESIGN AND DEVELOPMENT</v>
      </c>
      <c r="U96" s="1" t="s">
        <v>664</v>
      </c>
      <c r="V96" s="1" t="s">
        <v>665</v>
      </c>
      <c r="W96" s="1" t="s">
        <v>666</v>
      </c>
      <c r="X96" s="1" t="s">
        <v>667</v>
      </c>
      <c r="Y96" s="1" t="s">
        <v>668</v>
      </c>
      <c r="Z96" s="25" t="s">
        <v>669</v>
      </c>
      <c r="AA96" s="5"/>
      <c r="AB96" s="5"/>
      <c r="AC96" s="5"/>
      <c r="AD96" s="5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1:52" x14ac:dyDescent="0.3">
      <c r="A97" s="16">
        <v>96</v>
      </c>
      <c r="B97" s="7">
        <v>46177.387835648151</v>
      </c>
      <c r="C97" s="7">
        <v>46177.388368055559</v>
      </c>
      <c r="D97" s="8" t="s">
        <v>348</v>
      </c>
      <c r="E97" s="8" t="s">
        <v>349</v>
      </c>
      <c r="F97" s="7"/>
      <c r="G97" s="9">
        <v>2400032653</v>
      </c>
      <c r="H97" s="8" t="s">
        <v>350</v>
      </c>
      <c r="I97" s="8" t="s">
        <v>12</v>
      </c>
      <c r="J97" s="8" t="s">
        <v>13</v>
      </c>
      <c r="K97" s="8" t="s">
        <v>15</v>
      </c>
      <c r="L97" s="8" t="s">
        <v>14</v>
      </c>
      <c r="M97" s="10">
        <v>8.4499999999999993</v>
      </c>
      <c r="N97" s="8" t="s">
        <v>645</v>
      </c>
      <c r="O97" s="11">
        <v>0</v>
      </c>
      <c r="P97" s="21">
        <v>0</v>
      </c>
      <c r="Q97" s="5" t="s">
        <v>616</v>
      </c>
      <c r="R97" s="13" t="s">
        <v>656</v>
      </c>
      <c r="S97" s="5" t="str">
        <f>VLOOKUP(G97,[1]fc!$B$2:$D$707,3,0)</f>
        <v>24CS2258F</v>
      </c>
      <c r="T97" s="5" t="str">
        <f>VLOOKUP(G97,[1]fc!$B$2:$F$707,5,0)</f>
        <v>NATURAL LANGUAGE PROCESSING</v>
      </c>
      <c r="U97" s="14" t="s">
        <v>664</v>
      </c>
      <c r="V97" s="15" t="s">
        <v>665</v>
      </c>
      <c r="W97" s="15" t="s">
        <v>666</v>
      </c>
      <c r="X97" s="15" t="s">
        <v>667</v>
      </c>
      <c r="Y97" s="15" t="s">
        <v>668</v>
      </c>
      <c r="Z97" s="24" t="s">
        <v>669</v>
      </c>
      <c r="AA97" s="1" t="s">
        <v>672</v>
      </c>
      <c r="AB97" s="1" t="s">
        <v>673</v>
      </c>
      <c r="AC97" s="5"/>
      <c r="AD97" s="5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1:52" x14ac:dyDescent="0.3">
      <c r="A98" s="6">
        <v>97</v>
      </c>
      <c r="B98" s="7">
        <v>46207.57440972222</v>
      </c>
      <c r="C98" s="7">
        <v>46207.574976851851</v>
      </c>
      <c r="D98" s="8" t="s">
        <v>588</v>
      </c>
      <c r="E98" s="8" t="s">
        <v>589</v>
      </c>
      <c r="F98" s="7"/>
      <c r="G98" s="9">
        <v>2400030931</v>
      </c>
      <c r="H98" s="8" t="s">
        <v>590</v>
      </c>
      <c r="I98" s="8" t="s">
        <v>12</v>
      </c>
      <c r="J98" s="8" t="s">
        <v>21</v>
      </c>
      <c r="K98" s="8" t="s">
        <v>15</v>
      </c>
      <c r="L98" s="8" t="s">
        <v>14</v>
      </c>
      <c r="M98" s="10">
        <v>8.34</v>
      </c>
      <c r="N98" s="8" t="s">
        <v>641</v>
      </c>
      <c r="O98" s="11">
        <v>0</v>
      </c>
      <c r="P98" s="21">
        <v>0</v>
      </c>
      <c r="Q98" s="5" t="s">
        <v>621</v>
      </c>
      <c r="R98" s="13" t="s">
        <v>656</v>
      </c>
      <c r="S98" s="5" t="str">
        <f>VLOOKUP(G98,[1]fc!$B$2:$D$707,3,0)</f>
        <v>24CS2224F</v>
      </c>
      <c r="T98" s="5" t="str">
        <f>VLOOKUP(G98,[1]fc!$B$2:$F$707,5,0)</f>
        <v>CRYPT ANALYSIS AND CYBER DEFENCE</v>
      </c>
      <c r="U98" s="14" t="s">
        <v>664</v>
      </c>
      <c r="V98" s="15" t="s">
        <v>665</v>
      </c>
      <c r="W98" s="15" t="s">
        <v>666</v>
      </c>
      <c r="X98" s="15" t="s">
        <v>667</v>
      </c>
      <c r="Y98" s="15" t="s">
        <v>668</v>
      </c>
      <c r="Z98" s="24" t="s">
        <v>669</v>
      </c>
      <c r="AA98" s="1" t="s">
        <v>672</v>
      </c>
      <c r="AB98" s="1" t="s">
        <v>673</v>
      </c>
      <c r="AC98" s="5"/>
      <c r="AD98" s="5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1:52" x14ac:dyDescent="0.3">
      <c r="A99" s="16">
        <v>98</v>
      </c>
      <c r="B99" s="7">
        <v>46177.557106481479</v>
      </c>
      <c r="C99" s="7">
        <v>46177.558171296296</v>
      </c>
      <c r="D99" s="8" t="s">
        <v>420</v>
      </c>
      <c r="E99" s="8" t="s">
        <v>421</v>
      </c>
      <c r="F99" s="7"/>
      <c r="G99" s="9">
        <v>2400032061</v>
      </c>
      <c r="H99" s="8" t="s">
        <v>422</v>
      </c>
      <c r="I99" s="8" t="s">
        <v>12</v>
      </c>
      <c r="J99" s="8" t="s">
        <v>13</v>
      </c>
      <c r="K99" s="8" t="s">
        <v>15</v>
      </c>
      <c r="L99" s="8" t="s">
        <v>14</v>
      </c>
      <c r="M99" s="10">
        <v>9.3699999999999992</v>
      </c>
      <c r="N99" s="8" t="s">
        <v>645</v>
      </c>
      <c r="O99" s="11">
        <v>0</v>
      </c>
      <c r="P99" s="21">
        <v>0</v>
      </c>
      <c r="Q99" s="5" t="s">
        <v>622</v>
      </c>
      <c r="R99" s="13" t="s">
        <v>656</v>
      </c>
      <c r="S99" s="5" t="str">
        <f>VLOOKUP(G99,[1]fc!$B$2:$D$707,3,0)</f>
        <v>24CS2239F</v>
      </c>
      <c r="T99" s="5" t="str">
        <f>VLOOKUP(G99,[1]fc!$B$2:$F$707,5,0)</f>
        <v>SOFTWARE VERIFICATION AND VALIDATION</v>
      </c>
      <c r="U99" s="1" t="s">
        <v>664</v>
      </c>
      <c r="V99" s="1" t="s">
        <v>665</v>
      </c>
      <c r="W99" s="1" t="s">
        <v>666</v>
      </c>
      <c r="X99" s="1" t="s">
        <v>667</v>
      </c>
      <c r="Y99" s="1" t="s">
        <v>668</v>
      </c>
      <c r="Z99" s="25" t="s">
        <v>669</v>
      </c>
      <c r="AA99" s="5"/>
      <c r="AB99" s="5"/>
      <c r="AC99" s="5"/>
      <c r="AD99" s="5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1:52" x14ac:dyDescent="0.3">
      <c r="A100" s="6">
        <v>99</v>
      </c>
      <c r="B100" s="17">
        <v>46177.55841435185</v>
      </c>
      <c r="C100" s="17">
        <v>46177.559525462966</v>
      </c>
      <c r="D100" s="18" t="s">
        <v>429</v>
      </c>
      <c r="E100" s="18" t="s">
        <v>430</v>
      </c>
      <c r="F100" s="17"/>
      <c r="G100" s="19">
        <v>2400031847</v>
      </c>
      <c r="H100" s="18" t="s">
        <v>431</v>
      </c>
      <c r="I100" s="18" t="s">
        <v>12</v>
      </c>
      <c r="J100" s="18" t="s">
        <v>13</v>
      </c>
      <c r="K100" s="18" t="s">
        <v>15</v>
      </c>
      <c r="L100" s="18" t="s">
        <v>14</v>
      </c>
      <c r="M100" s="20">
        <v>8.19</v>
      </c>
      <c r="N100" s="18" t="s">
        <v>645</v>
      </c>
      <c r="O100" s="11">
        <v>0</v>
      </c>
      <c r="P100" s="21">
        <v>0</v>
      </c>
      <c r="Q100" s="5" t="s">
        <v>624</v>
      </c>
      <c r="R100" s="13" t="s">
        <v>656</v>
      </c>
      <c r="S100" s="5" t="str">
        <f>VLOOKUP(G100,[1]fc!$B$2:$D$707,3,0)</f>
        <v>24CS2239F</v>
      </c>
      <c r="T100" s="5" t="str">
        <f>VLOOKUP(G100,[1]fc!$B$2:$F$707,5,0)</f>
        <v>SOFTWARE VERIFICATION AND VALIDATION</v>
      </c>
      <c r="U100" s="14" t="s">
        <v>664</v>
      </c>
      <c r="V100" s="15" t="s">
        <v>665</v>
      </c>
      <c r="W100" s="15" t="s">
        <v>666</v>
      </c>
      <c r="X100" s="15" t="s">
        <v>667</v>
      </c>
      <c r="Y100" s="15" t="s">
        <v>668</v>
      </c>
      <c r="Z100" s="24" t="s">
        <v>669</v>
      </c>
      <c r="AA100" s="1" t="s">
        <v>672</v>
      </c>
      <c r="AB100" s="1" t="s">
        <v>673</v>
      </c>
      <c r="AC100" s="5"/>
      <c r="AD100" s="5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1:52" x14ac:dyDescent="0.3">
      <c r="A101" s="16">
        <v>100</v>
      </c>
      <c r="B101" s="7">
        <v>46177.569965277777</v>
      </c>
      <c r="C101" s="7">
        <v>46177.570821759262</v>
      </c>
      <c r="D101" s="8" t="s">
        <v>441</v>
      </c>
      <c r="E101" s="8" t="s">
        <v>442</v>
      </c>
      <c r="F101" s="7"/>
      <c r="G101" s="9">
        <v>2400032127</v>
      </c>
      <c r="H101" s="8" t="s">
        <v>443</v>
      </c>
      <c r="I101" s="8" t="s">
        <v>12</v>
      </c>
      <c r="J101" s="8" t="s">
        <v>21</v>
      </c>
      <c r="K101" s="8" t="s">
        <v>16</v>
      </c>
      <c r="L101" s="8" t="s">
        <v>14</v>
      </c>
      <c r="M101" s="10">
        <v>8.6199999999999992</v>
      </c>
      <c r="N101" s="8" t="s">
        <v>645</v>
      </c>
      <c r="O101" s="11">
        <v>0</v>
      </c>
      <c r="P101" s="21">
        <v>0</v>
      </c>
      <c r="Q101" s="5" t="s">
        <v>615</v>
      </c>
      <c r="R101" s="13" t="s">
        <v>656</v>
      </c>
      <c r="S101" s="5" t="str">
        <f>VLOOKUP(G101,[1]fc!$B$2:$D$707,3,0)</f>
        <v>24CS2221F</v>
      </c>
      <c r="T101" s="5" t="str">
        <f>VLOOKUP(G101,[1]fc!$B$2:$F$707,5,0)</f>
        <v>UX DESIGN</v>
      </c>
      <c r="U101" s="1" t="s">
        <v>664</v>
      </c>
      <c r="V101" s="1" t="s">
        <v>665</v>
      </c>
      <c r="W101" s="1" t="s">
        <v>666</v>
      </c>
      <c r="X101" s="1" t="s">
        <v>667</v>
      </c>
      <c r="Y101" s="14" t="s">
        <v>672</v>
      </c>
      <c r="Z101" s="24" t="s">
        <v>673</v>
      </c>
      <c r="AA101" s="1" t="s">
        <v>675</v>
      </c>
      <c r="AB101" s="1" t="s">
        <v>676</v>
      </c>
      <c r="AC101" s="5"/>
      <c r="AD101" s="5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1:52" x14ac:dyDescent="0.3">
      <c r="A102" s="6">
        <v>101</v>
      </c>
      <c r="B102" s="17">
        <v>46177.622210648151</v>
      </c>
      <c r="C102" s="17">
        <v>46177.631006944444</v>
      </c>
      <c r="D102" s="18" t="s">
        <v>474</v>
      </c>
      <c r="E102" s="18" t="s">
        <v>475</v>
      </c>
      <c r="F102" s="17"/>
      <c r="G102" s="19">
        <v>2400031680</v>
      </c>
      <c r="H102" s="18" t="s">
        <v>476</v>
      </c>
      <c r="I102" s="18" t="s">
        <v>12</v>
      </c>
      <c r="J102" s="18" t="s">
        <v>13</v>
      </c>
      <c r="K102" s="18" t="s">
        <v>16</v>
      </c>
      <c r="L102" s="18" t="s">
        <v>14</v>
      </c>
      <c r="M102" s="20">
        <v>8.52</v>
      </c>
      <c r="N102" s="18" t="s">
        <v>645</v>
      </c>
      <c r="O102" s="11">
        <v>0</v>
      </c>
      <c r="P102" s="21">
        <v>0</v>
      </c>
      <c r="Q102" s="5" t="s">
        <v>622</v>
      </c>
      <c r="R102" s="13" t="s">
        <v>656</v>
      </c>
      <c r="S102" s="5" t="str">
        <f>VLOOKUP(G102,[1]fc!$B$2:$D$707,3,0)</f>
        <v>24CS2237F</v>
      </c>
      <c r="T102" s="5" t="str">
        <f>VLOOKUP(G102,[1]fc!$B$2:$F$707,5,0)</f>
        <v>QUANTUM COMPUTING</v>
      </c>
      <c r="U102" s="1" t="s">
        <v>664</v>
      </c>
      <c r="V102" s="1" t="s">
        <v>665</v>
      </c>
      <c r="W102" s="1" t="s">
        <v>666</v>
      </c>
      <c r="X102" s="1" t="s">
        <v>667</v>
      </c>
      <c r="Y102" s="1" t="s">
        <v>668</v>
      </c>
      <c r="Z102" s="25" t="s">
        <v>669</v>
      </c>
      <c r="AA102" s="5"/>
      <c r="AB102" s="5"/>
      <c r="AC102" s="5"/>
      <c r="AD102" s="5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1:52" x14ac:dyDescent="0.3">
      <c r="A103" s="16">
        <v>102</v>
      </c>
      <c r="B103" s="7">
        <v>46177.934872685182</v>
      </c>
      <c r="C103" s="7">
        <v>46177.935590277775</v>
      </c>
      <c r="D103" s="8" t="s">
        <v>561</v>
      </c>
      <c r="E103" s="8" t="s">
        <v>562</v>
      </c>
      <c r="F103" s="7"/>
      <c r="G103" s="9">
        <v>2400030434</v>
      </c>
      <c r="H103" s="8" t="s">
        <v>563</v>
      </c>
      <c r="I103" s="8" t="s">
        <v>12</v>
      </c>
      <c r="J103" s="8" t="s">
        <v>13</v>
      </c>
      <c r="K103" s="8" t="s">
        <v>16</v>
      </c>
      <c r="L103" s="8" t="s">
        <v>14</v>
      </c>
      <c r="M103" s="10">
        <v>8.76</v>
      </c>
      <c r="N103" s="8" t="s">
        <v>645</v>
      </c>
      <c r="O103" s="11">
        <v>0</v>
      </c>
      <c r="P103" s="21">
        <v>0</v>
      </c>
      <c r="Q103" s="5" t="s">
        <v>615</v>
      </c>
      <c r="R103" s="13" t="s">
        <v>656</v>
      </c>
      <c r="S103" s="5" t="str">
        <f>VLOOKUP(G103,[1]fc!$B$2:$D$707,3,0)</f>
        <v>24CS2256F</v>
      </c>
      <c r="T103" s="5" t="str">
        <f>VLOOKUP(G103,[1]fc!$B$2:$F$707,5,0)</f>
        <v>FOUNDATIONS OF BLOCK CHAIN ENGINEERING</v>
      </c>
      <c r="U103" s="1" t="s">
        <v>664</v>
      </c>
      <c r="V103" s="1" t="s">
        <v>665</v>
      </c>
      <c r="W103" s="1" t="s">
        <v>666</v>
      </c>
      <c r="X103" s="1" t="s">
        <v>667</v>
      </c>
      <c r="Y103" s="14" t="s">
        <v>672</v>
      </c>
      <c r="Z103" s="24" t="s">
        <v>673</v>
      </c>
      <c r="AA103" s="1" t="s">
        <v>675</v>
      </c>
      <c r="AB103" s="1" t="s">
        <v>676</v>
      </c>
      <c r="AC103" s="5"/>
      <c r="AD103" s="5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1:52" x14ac:dyDescent="0.3">
      <c r="A104" s="6">
        <v>103</v>
      </c>
      <c r="B104" s="17">
        <v>46207.764178240737</v>
      </c>
      <c r="C104" s="17">
        <v>46207.765046296299</v>
      </c>
      <c r="D104" s="18" t="s">
        <v>597</v>
      </c>
      <c r="E104" s="18" t="s">
        <v>598</v>
      </c>
      <c r="F104" s="17"/>
      <c r="G104" s="19">
        <v>2400032607</v>
      </c>
      <c r="H104" s="18" t="s">
        <v>599</v>
      </c>
      <c r="I104" s="18" t="s">
        <v>12</v>
      </c>
      <c r="J104" s="18" t="s">
        <v>13</v>
      </c>
      <c r="K104" s="18" t="s">
        <v>16</v>
      </c>
      <c r="L104" s="18" t="s">
        <v>14</v>
      </c>
      <c r="M104" s="20">
        <v>8.49</v>
      </c>
      <c r="N104" s="18" t="s">
        <v>645</v>
      </c>
      <c r="O104" s="11">
        <v>0</v>
      </c>
      <c r="P104" s="12">
        <v>0</v>
      </c>
      <c r="Q104" s="5" t="s">
        <v>615</v>
      </c>
      <c r="R104" s="13" t="s">
        <v>656</v>
      </c>
      <c r="S104" s="5" t="str">
        <f>VLOOKUP(G104,[1]fc!$B$2:$D$707,3,0)</f>
        <v>24CS2258F</v>
      </c>
      <c r="T104" s="5" t="str">
        <f>VLOOKUP(G104,[1]fc!$B$2:$F$707,5,0)</f>
        <v>NATURAL LANGUAGE PROCESSING</v>
      </c>
      <c r="U104" s="1" t="s">
        <v>664</v>
      </c>
      <c r="V104" s="1" t="s">
        <v>665</v>
      </c>
      <c r="W104" s="1" t="s">
        <v>666</v>
      </c>
      <c r="X104" s="1" t="s">
        <v>667</v>
      </c>
      <c r="Y104" s="14" t="s">
        <v>672</v>
      </c>
      <c r="Z104" s="24" t="s">
        <v>673</v>
      </c>
      <c r="AA104" s="1" t="s">
        <v>675</v>
      </c>
      <c r="AB104" s="1" t="s">
        <v>676</v>
      </c>
      <c r="AC104" s="5"/>
      <c r="AD104" s="5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1:52" x14ac:dyDescent="0.3">
      <c r="A105" s="16">
        <v>104</v>
      </c>
      <c r="B105" s="7">
        <v>46146.419803240744</v>
      </c>
      <c r="C105" s="7">
        <v>46146.420439814814</v>
      </c>
      <c r="D105" s="8" t="s">
        <v>102</v>
      </c>
      <c r="E105" s="8" t="s">
        <v>103</v>
      </c>
      <c r="F105" s="7"/>
      <c r="G105" s="9">
        <v>2400031458</v>
      </c>
      <c r="H105" s="8" t="s">
        <v>104</v>
      </c>
      <c r="I105" s="8" t="s">
        <v>12</v>
      </c>
      <c r="J105" s="8" t="s">
        <v>13</v>
      </c>
      <c r="K105" s="8" t="s">
        <v>15</v>
      </c>
      <c r="L105" s="8" t="s">
        <v>14</v>
      </c>
      <c r="M105" s="10">
        <v>8.08</v>
      </c>
      <c r="N105" s="8" t="s">
        <v>644</v>
      </c>
      <c r="O105" s="11">
        <v>0</v>
      </c>
      <c r="P105" s="21">
        <v>0</v>
      </c>
      <c r="Q105" s="5" t="s">
        <v>621</v>
      </c>
      <c r="R105" s="13" t="s">
        <v>656</v>
      </c>
      <c r="S105" s="5" t="str">
        <f>VLOOKUP(G105,[1]fc!$B$2:$D$707,3,0)</f>
        <v>24CS2227F</v>
      </c>
      <c r="T105" s="5" t="str">
        <f>VLOOKUP(G105,[1]fc!$B$2:$F$707,5,0)</f>
        <v>DATA ANALYTICS AND VISUALIZATION</v>
      </c>
      <c r="U105" s="14" t="s">
        <v>664</v>
      </c>
      <c r="V105" s="15" t="s">
        <v>665</v>
      </c>
      <c r="W105" s="15" t="s">
        <v>666</v>
      </c>
      <c r="X105" s="15" t="s">
        <v>667</v>
      </c>
      <c r="Y105" s="15" t="s">
        <v>668</v>
      </c>
      <c r="Z105" s="24" t="s">
        <v>669</v>
      </c>
      <c r="AA105" s="1" t="s">
        <v>672</v>
      </c>
      <c r="AB105" s="1" t="s">
        <v>673</v>
      </c>
      <c r="AC105" s="5"/>
      <c r="AD105" s="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1:52" x14ac:dyDescent="0.3">
      <c r="A106" s="6">
        <v>105</v>
      </c>
      <c r="B106" s="7">
        <v>46146.862303240741</v>
      </c>
      <c r="C106" s="7">
        <v>46146.863703703704</v>
      </c>
      <c r="D106" s="8" t="s">
        <v>255</v>
      </c>
      <c r="E106" s="8" t="s">
        <v>256</v>
      </c>
      <c r="F106" s="7"/>
      <c r="G106" s="9">
        <v>2400031178</v>
      </c>
      <c r="H106" s="8" t="s">
        <v>257</v>
      </c>
      <c r="I106" s="8" t="s">
        <v>12</v>
      </c>
      <c r="J106" s="8" t="s">
        <v>13</v>
      </c>
      <c r="K106" s="8" t="s">
        <v>15</v>
      </c>
      <c r="L106" s="8" t="s">
        <v>14</v>
      </c>
      <c r="M106" s="10">
        <v>8.81</v>
      </c>
      <c r="N106" s="8" t="s">
        <v>642</v>
      </c>
      <c r="O106" s="11">
        <v>0</v>
      </c>
      <c r="P106" s="12">
        <v>0</v>
      </c>
      <c r="Q106" s="5" t="s">
        <v>616</v>
      </c>
      <c r="R106" s="13" t="s">
        <v>656</v>
      </c>
      <c r="S106" s="5" t="str">
        <f>VLOOKUP(G106,[1]fc!$B$2:$D$707,3,0)</f>
        <v>24CS2260F</v>
      </c>
      <c r="T106" s="5" t="str">
        <f>VLOOKUP(G106,[1]fc!$B$2:$F$707,5,0)</f>
        <v>FOUNDATIONS OF CLOUD-NATIVE COMPUTING &amp; DEVOPS</v>
      </c>
      <c r="U106" s="14" t="s">
        <v>664</v>
      </c>
      <c r="V106" s="15" t="s">
        <v>665</v>
      </c>
      <c r="W106" s="15" t="s">
        <v>666</v>
      </c>
      <c r="X106" s="15" t="s">
        <v>667</v>
      </c>
      <c r="Y106" s="15" t="s">
        <v>668</v>
      </c>
      <c r="Z106" s="24" t="s">
        <v>669</v>
      </c>
      <c r="AA106" s="1" t="s">
        <v>672</v>
      </c>
      <c r="AB106" s="1" t="s">
        <v>673</v>
      </c>
      <c r="AC106" s="5"/>
      <c r="AD106" s="5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 spans="1:52" x14ac:dyDescent="0.3">
      <c r="A107" s="16">
        <v>106</v>
      </c>
      <c r="B107" s="17">
        <v>46146.968124999999</v>
      </c>
      <c r="C107" s="17">
        <v>46146.968761574077</v>
      </c>
      <c r="D107" s="18" t="s">
        <v>288</v>
      </c>
      <c r="E107" s="18" t="s">
        <v>289</v>
      </c>
      <c r="F107" s="17"/>
      <c r="G107" s="19">
        <v>2400030670</v>
      </c>
      <c r="H107" s="18" t="s">
        <v>290</v>
      </c>
      <c r="I107" s="18" t="s">
        <v>12</v>
      </c>
      <c r="J107" s="18" t="s">
        <v>13</v>
      </c>
      <c r="K107" s="18" t="s">
        <v>16</v>
      </c>
      <c r="L107" s="18" t="s">
        <v>14</v>
      </c>
      <c r="M107" s="20">
        <v>8.5500000000000007</v>
      </c>
      <c r="N107" s="18" t="s">
        <v>642</v>
      </c>
      <c r="O107" s="11">
        <v>0</v>
      </c>
      <c r="P107" s="21">
        <v>0</v>
      </c>
      <c r="Q107" s="5" t="s">
        <v>617</v>
      </c>
      <c r="R107" s="13" t="s">
        <v>656</v>
      </c>
      <c r="S107" s="5" t="str">
        <f>VLOOKUP(G107,[1]fc!$B$2:$D$707,3,0)</f>
        <v>24CS2258F</v>
      </c>
      <c r="T107" s="5" t="str">
        <f>VLOOKUP(G107,[1]fc!$B$2:$F$707,5,0)</f>
        <v>NATURAL LANGUAGE PROCESSING</v>
      </c>
      <c r="U107" s="1" t="s">
        <v>664</v>
      </c>
      <c r="V107" s="1" t="s">
        <v>665</v>
      </c>
      <c r="W107" s="1" t="s">
        <v>666</v>
      </c>
      <c r="X107" s="1" t="s">
        <v>667</v>
      </c>
      <c r="Y107" s="14" t="s">
        <v>672</v>
      </c>
      <c r="Z107" s="24" t="s">
        <v>673</v>
      </c>
      <c r="AA107" s="1" t="s">
        <v>675</v>
      </c>
      <c r="AB107" s="1" t="s">
        <v>676</v>
      </c>
      <c r="AC107" s="5"/>
      <c r="AD107" s="5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1:52" x14ac:dyDescent="0.3">
      <c r="A108" s="6">
        <v>107</v>
      </c>
      <c r="B108" s="7">
        <v>46177.413645833331</v>
      </c>
      <c r="C108" s="7">
        <v>46177.4143287037</v>
      </c>
      <c r="D108" s="8" t="s">
        <v>354</v>
      </c>
      <c r="E108" s="8" t="s">
        <v>355</v>
      </c>
      <c r="F108" s="7"/>
      <c r="G108" s="9">
        <v>2400030473</v>
      </c>
      <c r="H108" s="8" t="s">
        <v>356</v>
      </c>
      <c r="I108" s="8" t="s">
        <v>12</v>
      </c>
      <c r="J108" s="8" t="s">
        <v>13</v>
      </c>
      <c r="K108" s="8" t="s">
        <v>15</v>
      </c>
      <c r="L108" s="8" t="s">
        <v>14</v>
      </c>
      <c r="M108" s="10">
        <v>8.11</v>
      </c>
      <c r="N108" s="8" t="s">
        <v>642</v>
      </c>
      <c r="O108" s="11">
        <v>0</v>
      </c>
      <c r="P108" s="21">
        <v>0</v>
      </c>
      <c r="Q108" s="5" t="s">
        <v>615</v>
      </c>
      <c r="R108" s="13" t="s">
        <v>656</v>
      </c>
      <c r="S108" s="5" t="str">
        <f>VLOOKUP(G108,[1]fc!$B$2:$D$707,3,0)</f>
        <v>24CS2255F</v>
      </c>
      <c r="T108" s="5" t="str">
        <f>VLOOKUP(G108,[1]fc!$B$2:$F$707,5,0)</f>
        <v>ADVANCED DATA STRUCTURES</v>
      </c>
      <c r="U108" s="1" t="s">
        <v>664</v>
      </c>
      <c r="V108" s="1" t="s">
        <v>665</v>
      </c>
      <c r="W108" s="1" t="s">
        <v>666</v>
      </c>
      <c r="X108" s="1" t="s">
        <v>667</v>
      </c>
      <c r="Y108" s="14" t="s">
        <v>672</v>
      </c>
      <c r="Z108" s="24" t="s">
        <v>673</v>
      </c>
      <c r="AA108" s="1" t="s">
        <v>675</v>
      </c>
      <c r="AB108" s="1" t="s">
        <v>676</v>
      </c>
      <c r="AC108" s="5"/>
      <c r="AD108" s="5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 spans="1:52" x14ac:dyDescent="0.3">
      <c r="A109" s="16">
        <v>108</v>
      </c>
      <c r="B109" s="7">
        <v>46177.443842592591</v>
      </c>
      <c r="C109" s="7">
        <v>46177.4450462963</v>
      </c>
      <c r="D109" s="8" t="s">
        <v>366</v>
      </c>
      <c r="E109" s="8" t="s">
        <v>367</v>
      </c>
      <c r="F109" s="7"/>
      <c r="G109" s="9">
        <v>2400030497</v>
      </c>
      <c r="H109" s="8" t="s">
        <v>368</v>
      </c>
      <c r="I109" s="8" t="s">
        <v>12</v>
      </c>
      <c r="J109" s="8" t="s">
        <v>13</v>
      </c>
      <c r="K109" s="8" t="s">
        <v>15</v>
      </c>
      <c r="L109" s="8" t="s">
        <v>14</v>
      </c>
      <c r="M109" s="10">
        <v>8.7899999999999991</v>
      </c>
      <c r="N109" s="8" t="s">
        <v>642</v>
      </c>
      <c r="O109" s="11">
        <v>0</v>
      </c>
      <c r="P109" s="21">
        <v>0</v>
      </c>
      <c r="Q109" s="5" t="s">
        <v>622</v>
      </c>
      <c r="R109" s="13" t="s">
        <v>656</v>
      </c>
      <c r="S109" s="5" t="str">
        <f>VLOOKUP(G109,[1]fc!$B$2:$D$707,3,0)</f>
        <v>24CS2239F</v>
      </c>
      <c r="T109" s="5" t="str">
        <f>VLOOKUP(G109,[1]fc!$B$2:$F$707,5,0)</f>
        <v>SOFTWARE VERIFICATION AND VALIDATION</v>
      </c>
      <c r="U109" s="1" t="s">
        <v>664</v>
      </c>
      <c r="V109" s="1" t="s">
        <v>665</v>
      </c>
      <c r="W109" s="1" t="s">
        <v>666</v>
      </c>
      <c r="X109" s="1" t="s">
        <v>667</v>
      </c>
      <c r="Y109" s="1" t="s">
        <v>668</v>
      </c>
      <c r="Z109" s="25" t="s">
        <v>669</v>
      </c>
      <c r="AA109" s="5"/>
      <c r="AB109" s="5"/>
      <c r="AC109" s="5"/>
      <c r="AD109" s="5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 spans="1:52" x14ac:dyDescent="0.3">
      <c r="A110" s="6">
        <v>109</v>
      </c>
      <c r="B110" s="7">
        <v>46177.655034722222</v>
      </c>
      <c r="C110" s="7">
        <v>46177.655277777776</v>
      </c>
      <c r="D110" s="8" t="s">
        <v>495</v>
      </c>
      <c r="E110" s="8" t="s">
        <v>496</v>
      </c>
      <c r="F110" s="7"/>
      <c r="G110" s="9">
        <v>2400031135</v>
      </c>
      <c r="H110" s="8" t="s">
        <v>497</v>
      </c>
      <c r="I110" s="8" t="s">
        <v>12</v>
      </c>
      <c r="J110" s="8" t="s">
        <v>13</v>
      </c>
      <c r="K110" s="8" t="s">
        <v>15</v>
      </c>
      <c r="L110" s="8" t="s">
        <v>14</v>
      </c>
      <c r="M110" s="10">
        <v>8.58</v>
      </c>
      <c r="N110" s="8" t="s">
        <v>642</v>
      </c>
      <c r="O110" s="11">
        <v>0</v>
      </c>
      <c r="P110" s="12">
        <v>0</v>
      </c>
      <c r="Q110" s="5" t="s">
        <v>617</v>
      </c>
      <c r="R110" s="13" t="s">
        <v>656</v>
      </c>
      <c r="S110" s="5" t="str">
        <f>VLOOKUP(G110,[1]fc!$B$2:$D$707,3,0)</f>
        <v>24CS2255F</v>
      </c>
      <c r="T110" s="5" t="str">
        <f>VLOOKUP(G110,[1]fc!$B$2:$F$707,5,0)</f>
        <v>ADVANCED DATA STRUCTURES</v>
      </c>
      <c r="U110" s="1" t="s">
        <v>664</v>
      </c>
      <c r="V110" s="1" t="s">
        <v>665</v>
      </c>
      <c r="W110" s="1" t="s">
        <v>666</v>
      </c>
      <c r="X110" s="1" t="s">
        <v>667</v>
      </c>
      <c r="Y110" s="14" t="s">
        <v>672</v>
      </c>
      <c r="Z110" s="24" t="s">
        <v>673</v>
      </c>
      <c r="AA110" s="1" t="s">
        <v>675</v>
      </c>
      <c r="AB110" s="1" t="s">
        <v>676</v>
      </c>
      <c r="AC110" s="5"/>
      <c r="AD110" s="5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1:52" x14ac:dyDescent="0.3">
      <c r="A111" s="16">
        <v>110</v>
      </c>
      <c r="B111" s="17">
        <v>46116.736956018518</v>
      </c>
      <c r="C111" s="17">
        <v>46116.737488425926</v>
      </c>
      <c r="D111" s="18" t="s">
        <v>18</v>
      </c>
      <c r="E111" s="18" t="s">
        <v>19</v>
      </c>
      <c r="F111" s="17"/>
      <c r="G111" s="19">
        <v>2400030336</v>
      </c>
      <c r="H111" s="18" t="s">
        <v>20</v>
      </c>
      <c r="I111" s="18" t="s">
        <v>17</v>
      </c>
      <c r="J111" s="18" t="s">
        <v>13</v>
      </c>
      <c r="K111" s="18" t="s">
        <v>16</v>
      </c>
      <c r="L111" s="18" t="s">
        <v>14</v>
      </c>
      <c r="M111" s="20">
        <v>9.0500000000000007</v>
      </c>
      <c r="N111" s="18" t="s">
        <v>627</v>
      </c>
      <c r="O111" s="11">
        <v>0</v>
      </c>
      <c r="P111" s="12">
        <v>0</v>
      </c>
      <c r="Q111" s="5" t="s">
        <v>613</v>
      </c>
      <c r="R111" s="13" t="s">
        <v>656</v>
      </c>
      <c r="S111" s="5" t="str">
        <f>VLOOKUP(G111,[1]fc!$B$2:$D$707,3,0)</f>
        <v>24CS2227F</v>
      </c>
      <c r="T111" s="5" t="str">
        <f>VLOOKUP(G111,[1]fc!$B$2:$F$707,5,0)</f>
        <v>DATA ANALYTICS AND VISUALIZATION</v>
      </c>
      <c r="U111" s="14" t="s">
        <v>664</v>
      </c>
      <c r="V111" s="15" t="s">
        <v>665</v>
      </c>
      <c r="W111" s="15" t="s">
        <v>666</v>
      </c>
      <c r="X111" s="15" t="s">
        <v>667</v>
      </c>
      <c r="Y111" s="15" t="s">
        <v>668</v>
      </c>
      <c r="Z111" s="24" t="s">
        <v>669</v>
      </c>
      <c r="AA111" s="1" t="s">
        <v>672</v>
      </c>
      <c r="AB111" s="1" t="s">
        <v>673</v>
      </c>
      <c r="AC111" s="5"/>
      <c r="AD111" s="5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1:52" x14ac:dyDescent="0.3">
      <c r="A112" s="6">
        <v>111</v>
      </c>
      <c r="B112" s="7">
        <v>46116.752418981479</v>
      </c>
      <c r="C112" s="7">
        <v>46116.753761574073</v>
      </c>
      <c r="D112" s="8" t="s">
        <v>22</v>
      </c>
      <c r="E112" s="8" t="s">
        <v>23</v>
      </c>
      <c r="F112" s="7"/>
      <c r="G112" s="9">
        <v>2400030299</v>
      </c>
      <c r="H112" s="8" t="s">
        <v>24</v>
      </c>
      <c r="I112" s="8" t="s">
        <v>12</v>
      </c>
      <c r="J112" s="8" t="s">
        <v>13</v>
      </c>
      <c r="K112" s="8" t="s">
        <v>16</v>
      </c>
      <c r="L112" s="8" t="s">
        <v>14</v>
      </c>
      <c r="M112" s="10">
        <v>8.66</v>
      </c>
      <c r="N112" s="8" t="s">
        <v>627</v>
      </c>
      <c r="O112" s="11">
        <v>0</v>
      </c>
      <c r="P112" s="21">
        <v>0</v>
      </c>
      <c r="Q112" s="5" t="s">
        <v>613</v>
      </c>
      <c r="R112" s="13" t="s">
        <v>656</v>
      </c>
      <c r="S112" s="5" t="str">
        <f>VLOOKUP(G112,[1]fc!$B$2:$D$707,3,0)</f>
        <v>24CS2227F</v>
      </c>
      <c r="T112" s="5" t="str">
        <f>VLOOKUP(G112,[1]fc!$B$2:$F$707,5,0)</f>
        <v>DATA ANALYTICS AND VISUALIZATION</v>
      </c>
      <c r="U112" s="14" t="s">
        <v>664</v>
      </c>
      <c r="V112" s="15" t="s">
        <v>665</v>
      </c>
      <c r="W112" s="15" t="s">
        <v>666</v>
      </c>
      <c r="X112" s="15" t="s">
        <v>667</v>
      </c>
      <c r="Y112" s="15" t="s">
        <v>668</v>
      </c>
      <c r="Z112" s="24" t="s">
        <v>669</v>
      </c>
      <c r="AA112" s="1" t="s">
        <v>672</v>
      </c>
      <c r="AB112" s="1" t="s">
        <v>673</v>
      </c>
      <c r="AC112" s="5"/>
      <c r="AD112" s="5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1:52" x14ac:dyDescent="0.3">
      <c r="A113" s="16">
        <v>112</v>
      </c>
      <c r="B113" s="17">
        <v>46146.693738425929</v>
      </c>
      <c r="C113" s="17">
        <v>46146.694189814814</v>
      </c>
      <c r="D113" s="18" t="s">
        <v>225</v>
      </c>
      <c r="E113" s="18" t="s">
        <v>226</v>
      </c>
      <c r="F113" s="17"/>
      <c r="G113" s="19">
        <v>2400030336</v>
      </c>
      <c r="H113" s="18" t="s">
        <v>227</v>
      </c>
      <c r="I113" s="18" t="s">
        <v>12</v>
      </c>
      <c r="J113" s="18" t="s">
        <v>21</v>
      </c>
      <c r="K113" s="18" t="s">
        <v>16</v>
      </c>
      <c r="L113" s="18" t="s">
        <v>14</v>
      </c>
      <c r="M113" s="20">
        <v>9.0500000000000007</v>
      </c>
      <c r="N113" s="18" t="s">
        <v>627</v>
      </c>
      <c r="O113" s="11">
        <v>0</v>
      </c>
      <c r="P113" s="21">
        <v>0</v>
      </c>
      <c r="Q113" s="5" t="s">
        <v>613</v>
      </c>
      <c r="R113" s="13" t="s">
        <v>656</v>
      </c>
      <c r="S113" s="5" t="str">
        <f>VLOOKUP(G113,[1]fc!$B$2:$D$707,3,0)</f>
        <v>24CS2227F</v>
      </c>
      <c r="T113" s="5" t="str">
        <f>VLOOKUP(G113,[1]fc!$B$2:$F$707,5,0)</f>
        <v>DATA ANALYTICS AND VISUALIZATION</v>
      </c>
      <c r="U113" s="14" t="s">
        <v>664</v>
      </c>
      <c r="V113" s="15" t="s">
        <v>665</v>
      </c>
      <c r="W113" s="15" t="s">
        <v>666</v>
      </c>
      <c r="X113" s="15" t="s">
        <v>667</v>
      </c>
      <c r="Y113" s="15" t="s">
        <v>668</v>
      </c>
      <c r="Z113" s="24" t="s">
        <v>669</v>
      </c>
      <c r="AA113" s="1" t="s">
        <v>672</v>
      </c>
      <c r="AB113" s="1" t="s">
        <v>673</v>
      </c>
      <c r="AC113" s="5"/>
      <c r="AD113" s="5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1:52" x14ac:dyDescent="0.3">
      <c r="A114" s="6">
        <v>113</v>
      </c>
      <c r="B114" s="17">
        <v>46146.410115740742</v>
      </c>
      <c r="C114" s="17">
        <v>46146.410578703704</v>
      </c>
      <c r="D114" s="18" t="s">
        <v>90</v>
      </c>
      <c r="E114" s="18" t="s">
        <v>91</v>
      </c>
      <c r="F114" s="17"/>
      <c r="G114" s="19">
        <v>2400030544</v>
      </c>
      <c r="H114" s="18" t="s">
        <v>92</v>
      </c>
      <c r="I114" s="18" t="s">
        <v>12</v>
      </c>
      <c r="J114" s="18" t="s">
        <v>13</v>
      </c>
      <c r="K114" s="18" t="s">
        <v>15</v>
      </c>
      <c r="L114" s="18" t="s">
        <v>14</v>
      </c>
      <c r="M114" s="20">
        <v>9.15</v>
      </c>
      <c r="N114" s="18" t="s">
        <v>640</v>
      </c>
      <c r="O114" s="11">
        <v>0</v>
      </c>
      <c r="P114" s="12">
        <v>0</v>
      </c>
      <c r="Q114" s="5" t="s">
        <v>622</v>
      </c>
      <c r="R114" s="13" t="s">
        <v>656</v>
      </c>
      <c r="S114" s="5" t="str">
        <f>VLOOKUP(G114,[1]fc!$B$2:$D$707,3,0)</f>
        <v>24CS2239F</v>
      </c>
      <c r="T114" s="5" t="str">
        <f>VLOOKUP(G114,[1]fc!$B$2:$F$707,5,0)</f>
        <v>SOFTWARE VERIFICATION AND VALIDATION</v>
      </c>
      <c r="U114" s="1" t="s">
        <v>664</v>
      </c>
      <c r="V114" s="1" t="s">
        <v>665</v>
      </c>
      <c r="W114" s="1" t="s">
        <v>666</v>
      </c>
      <c r="X114" s="1" t="s">
        <v>667</v>
      </c>
      <c r="Y114" s="1" t="s">
        <v>668</v>
      </c>
      <c r="Z114" s="25" t="s">
        <v>669</v>
      </c>
      <c r="AA114" s="5"/>
      <c r="AB114" s="5"/>
      <c r="AC114" s="5"/>
      <c r="AD114" s="5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 spans="1:52" x14ac:dyDescent="0.3">
      <c r="A115" s="16">
        <v>114</v>
      </c>
      <c r="B115" s="17">
        <v>46146.552303240744</v>
      </c>
      <c r="C115" s="17">
        <v>46146.55300925926</v>
      </c>
      <c r="D115" s="18" t="s">
        <v>183</v>
      </c>
      <c r="E115" s="18" t="s">
        <v>184</v>
      </c>
      <c r="F115" s="17"/>
      <c r="G115" s="19">
        <v>2400030725</v>
      </c>
      <c r="H115" s="18" t="s">
        <v>185</v>
      </c>
      <c r="I115" s="18" t="s">
        <v>12</v>
      </c>
      <c r="J115" s="18" t="s">
        <v>21</v>
      </c>
      <c r="K115" s="18" t="s">
        <v>16</v>
      </c>
      <c r="L115" s="18" t="s">
        <v>14</v>
      </c>
      <c r="M115" s="20">
        <v>8.3800000000000008</v>
      </c>
      <c r="N115" s="18" t="s">
        <v>640</v>
      </c>
      <c r="O115" s="11">
        <v>0</v>
      </c>
      <c r="P115" s="21">
        <v>0</v>
      </c>
      <c r="Q115" s="5" t="s">
        <v>616</v>
      </c>
      <c r="R115" s="13" t="s">
        <v>656</v>
      </c>
      <c r="S115" s="5" t="str">
        <f>VLOOKUP(G115,[1]fc!$B$2:$D$707,3,0)</f>
        <v>24CS2258F</v>
      </c>
      <c r="T115" s="5" t="str">
        <f>VLOOKUP(G115,[1]fc!$B$2:$F$707,5,0)</f>
        <v>NATURAL LANGUAGE PROCESSING</v>
      </c>
      <c r="U115" s="14" t="s">
        <v>664</v>
      </c>
      <c r="V115" s="15" t="s">
        <v>665</v>
      </c>
      <c r="W115" s="15" t="s">
        <v>666</v>
      </c>
      <c r="X115" s="15" t="s">
        <v>667</v>
      </c>
      <c r="Y115" s="15" t="s">
        <v>668</v>
      </c>
      <c r="Z115" s="24" t="s">
        <v>669</v>
      </c>
      <c r="AA115" s="1" t="s">
        <v>672</v>
      </c>
      <c r="AB115" s="1" t="s">
        <v>673</v>
      </c>
      <c r="AC115" s="5"/>
      <c r="AD115" s="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 spans="1:52" x14ac:dyDescent="0.3">
      <c r="A116" s="6">
        <v>115</v>
      </c>
      <c r="B116" s="17">
        <v>46146.714675925927</v>
      </c>
      <c r="C116" s="17">
        <v>46146.714814814812</v>
      </c>
      <c r="D116" s="18" t="s">
        <v>231</v>
      </c>
      <c r="E116" s="18" t="s">
        <v>232</v>
      </c>
      <c r="F116" s="17"/>
      <c r="G116" s="19">
        <v>2400033151</v>
      </c>
      <c r="H116" s="18" t="s">
        <v>233</v>
      </c>
      <c r="I116" s="18" t="s">
        <v>12</v>
      </c>
      <c r="J116" s="18" t="s">
        <v>13</v>
      </c>
      <c r="K116" s="18" t="s">
        <v>16</v>
      </c>
      <c r="L116" s="18" t="s">
        <v>14</v>
      </c>
      <c r="M116" s="20">
        <v>8.6999999999999993</v>
      </c>
      <c r="N116" s="18" t="s">
        <v>640</v>
      </c>
      <c r="O116" s="11">
        <v>0</v>
      </c>
      <c r="P116" s="21">
        <v>0</v>
      </c>
      <c r="Q116" s="5" t="s">
        <v>615</v>
      </c>
      <c r="R116" s="13" t="s">
        <v>656</v>
      </c>
      <c r="S116" s="5" t="str">
        <f>VLOOKUP(G116,[1]fc!$B$2:$D$707,3,0)</f>
        <v>24CS2258F</v>
      </c>
      <c r="T116" s="5" t="str">
        <f>VLOOKUP(G116,[1]fc!$B$2:$F$707,5,0)</f>
        <v>NATURAL LANGUAGE PROCESSING</v>
      </c>
      <c r="U116" s="1" t="s">
        <v>664</v>
      </c>
      <c r="V116" s="1" t="s">
        <v>665</v>
      </c>
      <c r="W116" s="1" t="s">
        <v>666</v>
      </c>
      <c r="X116" s="1" t="s">
        <v>667</v>
      </c>
      <c r="Y116" s="14" t="s">
        <v>672</v>
      </c>
      <c r="Z116" s="24" t="s">
        <v>673</v>
      </c>
      <c r="AA116" s="1" t="s">
        <v>675</v>
      </c>
      <c r="AB116" s="1" t="s">
        <v>676</v>
      </c>
      <c r="AC116" s="5"/>
      <c r="AD116" s="5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 spans="1:52" x14ac:dyDescent="0.3">
      <c r="A117" s="16">
        <v>116</v>
      </c>
      <c r="B117" s="17">
        <v>46177.355636574073</v>
      </c>
      <c r="C117" s="17">
        <v>46177.356273148151</v>
      </c>
      <c r="D117" s="18" t="s">
        <v>342</v>
      </c>
      <c r="E117" s="18" t="s">
        <v>343</v>
      </c>
      <c r="F117" s="17"/>
      <c r="G117" s="19">
        <v>2400031621</v>
      </c>
      <c r="H117" s="18" t="s">
        <v>344</v>
      </c>
      <c r="I117" s="18" t="s">
        <v>12</v>
      </c>
      <c r="J117" s="18" t="s">
        <v>13</v>
      </c>
      <c r="K117" s="18" t="s">
        <v>15</v>
      </c>
      <c r="L117" s="18" t="s">
        <v>14</v>
      </c>
      <c r="M117" s="20">
        <v>9.14</v>
      </c>
      <c r="N117" s="18" t="s">
        <v>640</v>
      </c>
      <c r="O117" s="11">
        <v>0</v>
      </c>
      <c r="P117" s="21">
        <v>0</v>
      </c>
      <c r="Q117" s="5" t="s">
        <v>618</v>
      </c>
      <c r="R117" s="13" t="s">
        <v>656</v>
      </c>
      <c r="S117" s="5" t="str">
        <f>VLOOKUP(G117,[1]fc!$B$2:$D$707,3,0)</f>
        <v>24EE2230F</v>
      </c>
      <c r="T117" s="5" t="str">
        <f>VLOOKUP(G117,[1]fc!$B$2:$F$707,5,0)</f>
        <v>ESSENTIALS OF AUTONOMOUS SYSTEMS</v>
      </c>
      <c r="U117" s="14" t="s">
        <v>664</v>
      </c>
      <c r="V117" s="15" t="s">
        <v>665</v>
      </c>
      <c r="W117" s="15" t="s">
        <v>666</v>
      </c>
      <c r="X117" s="15" t="s">
        <v>667</v>
      </c>
      <c r="Y117" s="15" t="s">
        <v>668</v>
      </c>
      <c r="Z117" s="24" t="s">
        <v>669</v>
      </c>
      <c r="AA117" s="1" t="s">
        <v>672</v>
      </c>
      <c r="AB117" s="1" t="s">
        <v>673</v>
      </c>
      <c r="AC117" s="5"/>
      <c r="AD117" s="5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 spans="1:52" x14ac:dyDescent="0.3">
      <c r="A118" s="6">
        <v>117</v>
      </c>
      <c r="B118" s="7">
        <v>46177.584340277775</v>
      </c>
      <c r="C118" s="7">
        <v>46177.584768518522</v>
      </c>
      <c r="D118" s="8" t="s">
        <v>453</v>
      </c>
      <c r="E118" s="8" t="s">
        <v>454</v>
      </c>
      <c r="F118" s="7"/>
      <c r="G118" s="9">
        <v>2400032312</v>
      </c>
      <c r="H118" s="8" t="s">
        <v>455</v>
      </c>
      <c r="I118" s="8" t="s">
        <v>12</v>
      </c>
      <c r="J118" s="8" t="s">
        <v>13</v>
      </c>
      <c r="K118" s="8" t="s">
        <v>15</v>
      </c>
      <c r="L118" s="8" t="s">
        <v>14</v>
      </c>
      <c r="M118" s="10">
        <v>8.4700000000000006</v>
      </c>
      <c r="N118" s="8" t="s">
        <v>644</v>
      </c>
      <c r="O118" s="11">
        <v>0</v>
      </c>
      <c r="P118" s="21">
        <v>0</v>
      </c>
      <c r="Q118" s="5" t="s">
        <v>621</v>
      </c>
      <c r="R118" s="13" t="s">
        <v>656</v>
      </c>
      <c r="S118" s="5" t="str">
        <f>VLOOKUP(G118,[1]fc!$B$2:$D$707,3,0)</f>
        <v>24CS2256F</v>
      </c>
      <c r="T118" s="5" t="str">
        <f>VLOOKUP(G118,[1]fc!$B$2:$F$707,5,0)</f>
        <v>FOUNDATIONS OF BLOCK CHAIN ENGINEERING</v>
      </c>
      <c r="U118" s="14" t="s">
        <v>664</v>
      </c>
      <c r="V118" s="15" t="s">
        <v>665</v>
      </c>
      <c r="W118" s="15" t="s">
        <v>666</v>
      </c>
      <c r="X118" s="15" t="s">
        <v>667</v>
      </c>
      <c r="Y118" s="15" t="s">
        <v>668</v>
      </c>
      <c r="Z118" s="24" t="s">
        <v>669</v>
      </c>
      <c r="AA118" s="1" t="s">
        <v>672</v>
      </c>
      <c r="AB118" s="1" t="s">
        <v>673</v>
      </c>
      <c r="AC118" s="5"/>
      <c r="AD118" s="5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 spans="1:52" x14ac:dyDescent="0.3">
      <c r="A119" s="16">
        <v>118</v>
      </c>
      <c r="B119" s="17">
        <v>46177.540393518517</v>
      </c>
      <c r="C119" s="17">
        <v>46177.540983796294</v>
      </c>
      <c r="D119" s="18" t="s">
        <v>417</v>
      </c>
      <c r="E119" s="18" t="s">
        <v>418</v>
      </c>
      <c r="F119" s="17"/>
      <c r="G119" s="19">
        <v>2400030638</v>
      </c>
      <c r="H119" s="18" t="s">
        <v>419</v>
      </c>
      <c r="I119" s="18" t="s">
        <v>12</v>
      </c>
      <c r="J119" s="18" t="s">
        <v>13</v>
      </c>
      <c r="K119" s="18" t="s">
        <v>15</v>
      </c>
      <c r="L119" s="18" t="s">
        <v>14</v>
      </c>
      <c r="M119" s="20">
        <v>8.07</v>
      </c>
      <c r="N119" s="18" t="s">
        <v>640</v>
      </c>
      <c r="O119" s="11">
        <v>0</v>
      </c>
      <c r="P119" s="21">
        <v>0</v>
      </c>
      <c r="Q119" s="5" t="s">
        <v>615</v>
      </c>
      <c r="R119" s="13" t="s">
        <v>656</v>
      </c>
      <c r="S119" s="5" t="str">
        <f>VLOOKUP(G119,[1]fc!$B$2:$D$707,3,0)</f>
        <v>24CS2258F</v>
      </c>
      <c r="T119" s="5" t="str">
        <f>VLOOKUP(G119,[1]fc!$B$2:$F$707,5,0)</f>
        <v>NATURAL LANGUAGE PROCESSING</v>
      </c>
      <c r="U119" s="1" t="s">
        <v>664</v>
      </c>
      <c r="V119" s="1" t="s">
        <v>665</v>
      </c>
      <c r="W119" s="1" t="s">
        <v>666</v>
      </c>
      <c r="X119" s="1" t="s">
        <v>667</v>
      </c>
      <c r="Y119" s="14" t="s">
        <v>672</v>
      </c>
      <c r="Z119" s="24" t="s">
        <v>673</v>
      </c>
      <c r="AA119" s="1" t="s">
        <v>675</v>
      </c>
      <c r="AB119" s="1" t="s">
        <v>676</v>
      </c>
      <c r="AC119" s="5"/>
      <c r="AD119" s="5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 spans="1:52" x14ac:dyDescent="0.3">
      <c r="A120" s="6">
        <v>119</v>
      </c>
      <c r="B120" s="17">
        <v>46146.378541666665</v>
      </c>
      <c r="C120" s="17">
        <v>46146.379050925927</v>
      </c>
      <c r="D120" s="18" t="s">
        <v>43</v>
      </c>
      <c r="E120" s="18" t="s">
        <v>44</v>
      </c>
      <c r="F120" s="17"/>
      <c r="G120" s="19">
        <v>2400033029</v>
      </c>
      <c r="H120" s="18" t="s">
        <v>45</v>
      </c>
      <c r="I120" s="18" t="s">
        <v>12</v>
      </c>
      <c r="J120" s="18" t="s">
        <v>13</v>
      </c>
      <c r="K120" s="18" t="s">
        <v>16</v>
      </c>
      <c r="L120" s="18" t="s">
        <v>14</v>
      </c>
      <c r="M120" s="20">
        <v>9.11</v>
      </c>
      <c r="N120" s="18" t="s">
        <v>632</v>
      </c>
      <c r="O120" s="11">
        <v>0</v>
      </c>
      <c r="P120" s="12">
        <v>0</v>
      </c>
      <c r="Q120" s="5" t="s">
        <v>616</v>
      </c>
      <c r="R120" s="13" t="s">
        <v>656</v>
      </c>
      <c r="S120" s="5" t="str">
        <f>VLOOKUP(G120,[1]fc!$B$2:$D$707,3,0)</f>
        <v>24CS2221F</v>
      </c>
      <c r="T120" s="5" t="str">
        <f>VLOOKUP(G120,[1]fc!$B$2:$F$707,5,0)</f>
        <v>UX DESIGN</v>
      </c>
      <c r="U120" s="14" t="s">
        <v>664</v>
      </c>
      <c r="V120" s="15" t="s">
        <v>665</v>
      </c>
      <c r="W120" s="15" t="s">
        <v>666</v>
      </c>
      <c r="X120" s="15" t="s">
        <v>667</v>
      </c>
      <c r="Y120" s="15" t="s">
        <v>668</v>
      </c>
      <c r="Z120" s="24" t="s">
        <v>669</v>
      </c>
      <c r="AA120" s="1" t="s">
        <v>672</v>
      </c>
      <c r="AB120" s="1" t="s">
        <v>673</v>
      </c>
      <c r="AC120" s="5"/>
      <c r="AD120" s="5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 spans="1:52" x14ac:dyDescent="0.3">
      <c r="A121" s="16">
        <v>120</v>
      </c>
      <c r="B121" s="17">
        <v>46146.494513888887</v>
      </c>
      <c r="C121" s="17">
        <v>46146.49560185185</v>
      </c>
      <c r="D121" s="18" t="s">
        <v>168</v>
      </c>
      <c r="E121" s="18" t="s">
        <v>169</v>
      </c>
      <c r="F121" s="17"/>
      <c r="G121" s="19">
        <v>2400031491</v>
      </c>
      <c r="H121" s="18" t="s">
        <v>170</v>
      </c>
      <c r="I121" s="18" t="s">
        <v>12</v>
      </c>
      <c r="J121" s="18" t="s">
        <v>13</v>
      </c>
      <c r="K121" s="18" t="s">
        <v>15</v>
      </c>
      <c r="L121" s="18" t="s">
        <v>14</v>
      </c>
      <c r="M121" s="20">
        <v>8.56</v>
      </c>
      <c r="N121" s="18" t="s">
        <v>628</v>
      </c>
      <c r="O121" s="11">
        <v>0</v>
      </c>
      <c r="P121" s="21">
        <v>0</v>
      </c>
      <c r="Q121" s="5" t="s">
        <v>621</v>
      </c>
      <c r="R121" s="13" t="s">
        <v>656</v>
      </c>
      <c r="S121" s="5" t="str">
        <f>VLOOKUP(G121,[1]fc!$B$2:$D$707,3,0)</f>
        <v>24CS2255F</v>
      </c>
      <c r="T121" s="5" t="str">
        <f>VLOOKUP(G121,[1]fc!$B$2:$F$707,5,0)</f>
        <v>ADVANCED DATA STRUCTURES</v>
      </c>
      <c r="U121" s="14" t="s">
        <v>664</v>
      </c>
      <c r="V121" s="15" t="s">
        <v>665</v>
      </c>
      <c r="W121" s="15" t="s">
        <v>666</v>
      </c>
      <c r="X121" s="15" t="s">
        <v>667</v>
      </c>
      <c r="Y121" s="15" t="s">
        <v>668</v>
      </c>
      <c r="Z121" s="24" t="s">
        <v>669</v>
      </c>
      <c r="AA121" s="1" t="s">
        <v>672</v>
      </c>
      <c r="AB121" s="1" t="s">
        <v>673</v>
      </c>
      <c r="AC121" s="5"/>
      <c r="AD121" s="5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  <row r="122" spans="1:52" x14ac:dyDescent="0.3">
      <c r="A122" s="6">
        <v>121</v>
      </c>
      <c r="B122" s="7">
        <v>46146.80195601852</v>
      </c>
      <c r="C122" s="7">
        <v>46146.803032407406</v>
      </c>
      <c r="D122" s="8" t="s">
        <v>234</v>
      </c>
      <c r="E122" s="8" t="s">
        <v>235</v>
      </c>
      <c r="F122" s="7"/>
      <c r="G122" s="9">
        <v>2400031561</v>
      </c>
      <c r="H122" s="8" t="s">
        <v>236</v>
      </c>
      <c r="I122" s="8" t="s">
        <v>12</v>
      </c>
      <c r="J122" s="8" t="s">
        <v>13</v>
      </c>
      <c r="K122" s="8" t="s">
        <v>15</v>
      </c>
      <c r="L122" s="8" t="s">
        <v>14</v>
      </c>
      <c r="M122" s="10">
        <v>9.06</v>
      </c>
      <c r="N122" s="8" t="s">
        <v>631</v>
      </c>
      <c r="O122" s="11">
        <v>0</v>
      </c>
      <c r="P122" s="21">
        <v>0</v>
      </c>
      <c r="Q122" s="5" t="s">
        <v>621</v>
      </c>
      <c r="R122" s="13" t="s">
        <v>656</v>
      </c>
      <c r="S122" s="5" t="str">
        <f>VLOOKUP(G122,[1]fc!$B$2:$D$707,3,0)</f>
        <v>24CS2258F</v>
      </c>
      <c r="T122" s="5" t="str">
        <f>VLOOKUP(G122,[1]fc!$B$2:$F$707,5,0)</f>
        <v>NATURAL LANGUAGE PROCESSING</v>
      </c>
      <c r="U122" s="14" t="s">
        <v>664</v>
      </c>
      <c r="V122" s="15" t="s">
        <v>665</v>
      </c>
      <c r="W122" s="15" t="s">
        <v>666</v>
      </c>
      <c r="X122" s="15" t="s">
        <v>667</v>
      </c>
      <c r="Y122" s="15" t="s">
        <v>668</v>
      </c>
      <c r="Z122" s="24" t="s">
        <v>669</v>
      </c>
      <c r="AA122" s="1" t="s">
        <v>672</v>
      </c>
      <c r="AB122" s="1" t="s">
        <v>673</v>
      </c>
      <c r="AC122" s="5"/>
      <c r="AD122" s="5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 spans="1:52" x14ac:dyDescent="0.3">
      <c r="A123" s="16">
        <v>122</v>
      </c>
      <c r="B123" s="17">
        <v>46177.748993055553</v>
      </c>
      <c r="C123" s="17">
        <v>46177.749259259261</v>
      </c>
      <c r="D123" s="18" t="s">
        <v>537</v>
      </c>
      <c r="E123" s="18" t="s">
        <v>538</v>
      </c>
      <c r="F123" s="17"/>
      <c r="G123" s="19">
        <v>2400032942</v>
      </c>
      <c r="H123" s="18" t="s">
        <v>539</v>
      </c>
      <c r="I123" s="18" t="s">
        <v>12</v>
      </c>
      <c r="J123" s="18" t="s">
        <v>13</v>
      </c>
      <c r="K123" s="18" t="s">
        <v>16</v>
      </c>
      <c r="L123" s="18" t="s">
        <v>14</v>
      </c>
      <c r="M123" s="20">
        <v>8.7100000000000009</v>
      </c>
      <c r="N123" s="18" t="s">
        <v>632</v>
      </c>
      <c r="O123" s="11">
        <v>0</v>
      </c>
      <c r="P123" s="12">
        <v>0</v>
      </c>
      <c r="Q123" s="5" t="s">
        <v>616</v>
      </c>
      <c r="R123" s="13" t="s">
        <v>656</v>
      </c>
      <c r="S123" s="5" t="str">
        <f>VLOOKUP(G123,[1]fc!$B$2:$D$707,3,0)</f>
        <v>24CS2239F</v>
      </c>
      <c r="T123" s="5" t="str">
        <f>VLOOKUP(G123,[1]fc!$B$2:$F$707,5,0)</f>
        <v>SOFTWARE VERIFICATION AND VALIDATION</v>
      </c>
      <c r="U123" s="14" t="s">
        <v>664</v>
      </c>
      <c r="V123" s="15" t="s">
        <v>665</v>
      </c>
      <c r="W123" s="15" t="s">
        <v>666</v>
      </c>
      <c r="X123" s="15" t="s">
        <v>667</v>
      </c>
      <c r="Y123" s="15" t="s">
        <v>668</v>
      </c>
      <c r="Z123" s="24" t="s">
        <v>669</v>
      </c>
      <c r="AA123" s="1" t="s">
        <v>672</v>
      </c>
      <c r="AB123" s="1" t="s">
        <v>673</v>
      </c>
      <c r="AC123" s="5"/>
      <c r="AD123" s="5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</row>
    <row r="124" spans="1:52" x14ac:dyDescent="0.3">
      <c r="A124" s="6">
        <v>123</v>
      </c>
      <c r="B124" s="17">
        <v>46146.420624999999</v>
      </c>
      <c r="C124" s="17">
        <v>46146.421238425923</v>
      </c>
      <c r="D124" s="18" t="s">
        <v>105</v>
      </c>
      <c r="E124" s="18" t="s">
        <v>106</v>
      </c>
      <c r="F124" s="17"/>
      <c r="G124" s="19">
        <v>2400031204</v>
      </c>
      <c r="H124" s="18" t="s">
        <v>107</v>
      </c>
      <c r="I124" s="18" t="s">
        <v>12</v>
      </c>
      <c r="J124" s="18" t="s">
        <v>13</v>
      </c>
      <c r="K124" s="18" t="s">
        <v>15</v>
      </c>
      <c r="L124" s="18" t="s">
        <v>14</v>
      </c>
      <c r="M124" s="20">
        <v>8.4</v>
      </c>
      <c r="N124" s="18" t="s">
        <v>641</v>
      </c>
      <c r="O124" s="11">
        <v>0</v>
      </c>
      <c r="P124" s="12">
        <v>0</v>
      </c>
      <c r="Q124" s="5" t="s">
        <v>622</v>
      </c>
      <c r="R124" s="13" t="s">
        <v>656</v>
      </c>
      <c r="S124" s="5" t="str">
        <f>VLOOKUP(G124,[1]fc!$B$2:$D$707,3,0)</f>
        <v>24CS2255F</v>
      </c>
      <c r="T124" s="5" t="str">
        <f>VLOOKUP(G124,[1]fc!$B$2:$F$707,5,0)</f>
        <v>ADVANCED DATA STRUCTURES</v>
      </c>
      <c r="U124" s="1" t="s">
        <v>664</v>
      </c>
      <c r="V124" s="1" t="s">
        <v>665</v>
      </c>
      <c r="W124" s="1" t="s">
        <v>666</v>
      </c>
      <c r="X124" s="1" t="s">
        <v>667</v>
      </c>
      <c r="Y124" s="1" t="s">
        <v>668</v>
      </c>
      <c r="Z124" s="25" t="s">
        <v>669</v>
      </c>
      <c r="AA124" s="5"/>
      <c r="AB124" s="5"/>
      <c r="AC124" s="5"/>
      <c r="AD124" s="5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</row>
    <row r="125" spans="1:52" x14ac:dyDescent="0.3">
      <c r="A125" s="16">
        <v>124</v>
      </c>
      <c r="B125" s="17">
        <v>46146.473865740743</v>
      </c>
      <c r="C125" s="17">
        <v>46146.474756944444</v>
      </c>
      <c r="D125" s="18" t="s">
        <v>150</v>
      </c>
      <c r="E125" s="18" t="s">
        <v>151</v>
      </c>
      <c r="F125" s="17"/>
      <c r="G125" s="19">
        <v>2400031218</v>
      </c>
      <c r="H125" s="18" t="s">
        <v>152</v>
      </c>
      <c r="I125" s="18" t="s">
        <v>12</v>
      </c>
      <c r="J125" s="18" t="s">
        <v>13</v>
      </c>
      <c r="K125" s="18" t="s">
        <v>16</v>
      </c>
      <c r="L125" s="18" t="s">
        <v>14</v>
      </c>
      <c r="M125" s="20">
        <v>8.42</v>
      </c>
      <c r="N125" s="18" t="s">
        <v>641</v>
      </c>
      <c r="O125" s="11">
        <v>0</v>
      </c>
      <c r="P125" s="12">
        <v>0</v>
      </c>
      <c r="Q125" s="5" t="s">
        <v>616</v>
      </c>
      <c r="R125" s="13" t="s">
        <v>656</v>
      </c>
      <c r="S125" s="5" t="str">
        <f>VLOOKUP(G125,[1]fc!$B$2:$D$707,3,0)</f>
        <v>24CS2255F</v>
      </c>
      <c r="T125" s="5" t="str">
        <f>VLOOKUP(G125,[1]fc!$B$2:$F$707,5,0)</f>
        <v>ADVANCED DATA STRUCTURES</v>
      </c>
      <c r="U125" s="14" t="s">
        <v>664</v>
      </c>
      <c r="V125" s="15" t="s">
        <v>665</v>
      </c>
      <c r="W125" s="15" t="s">
        <v>666</v>
      </c>
      <c r="X125" s="15" t="s">
        <v>667</v>
      </c>
      <c r="Y125" s="15" t="s">
        <v>668</v>
      </c>
      <c r="Z125" s="24" t="s">
        <v>669</v>
      </c>
      <c r="AA125" s="1" t="s">
        <v>672</v>
      </c>
      <c r="AB125" s="1" t="s">
        <v>673</v>
      </c>
      <c r="AC125" s="5"/>
      <c r="AD125" s="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</row>
    <row r="126" spans="1:52" x14ac:dyDescent="0.3">
      <c r="A126" s="6">
        <v>125</v>
      </c>
      <c r="B126" s="17">
        <v>46146.662499999999</v>
      </c>
      <c r="C126" s="17">
        <v>46146.662916666668</v>
      </c>
      <c r="D126" s="18" t="s">
        <v>219</v>
      </c>
      <c r="E126" s="18" t="s">
        <v>220</v>
      </c>
      <c r="F126" s="17"/>
      <c r="G126" s="19">
        <v>2400031300</v>
      </c>
      <c r="H126" s="18" t="s">
        <v>221</v>
      </c>
      <c r="I126" s="18" t="s">
        <v>12</v>
      </c>
      <c r="J126" s="18" t="s">
        <v>13</v>
      </c>
      <c r="K126" s="18" t="s">
        <v>15</v>
      </c>
      <c r="L126" s="18" t="s">
        <v>14</v>
      </c>
      <c r="M126" s="20">
        <v>8.58</v>
      </c>
      <c r="N126" s="18" t="s">
        <v>641</v>
      </c>
      <c r="O126" s="11">
        <v>0</v>
      </c>
      <c r="P126" s="21">
        <v>0</v>
      </c>
      <c r="Q126" s="5" t="s">
        <v>616</v>
      </c>
      <c r="R126" s="13" t="s">
        <v>656</v>
      </c>
      <c r="S126" s="5" t="str">
        <f>VLOOKUP(G126,[1]fc!$B$2:$D$707,3,0)</f>
        <v>24CS2239F</v>
      </c>
      <c r="T126" s="5" t="str">
        <f>VLOOKUP(G126,[1]fc!$B$2:$F$707,5,0)</f>
        <v>SOFTWARE VERIFICATION AND VALIDATION</v>
      </c>
      <c r="U126" s="14" t="s">
        <v>664</v>
      </c>
      <c r="V126" s="15" t="s">
        <v>665</v>
      </c>
      <c r="W126" s="15" t="s">
        <v>666</v>
      </c>
      <c r="X126" s="15" t="s">
        <v>667</v>
      </c>
      <c r="Y126" s="15" t="s">
        <v>668</v>
      </c>
      <c r="Z126" s="24" t="s">
        <v>669</v>
      </c>
      <c r="AA126" s="1" t="s">
        <v>672</v>
      </c>
      <c r="AB126" s="1" t="s">
        <v>673</v>
      </c>
      <c r="AC126" s="5"/>
      <c r="AD126" s="5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</row>
    <row r="127" spans="1:52" x14ac:dyDescent="0.3">
      <c r="A127" s="16">
        <v>126</v>
      </c>
      <c r="B127" s="17">
        <v>46146.86278935185</v>
      </c>
      <c r="C127" s="17">
        <v>46146.863321759258</v>
      </c>
      <c r="D127" s="18" t="s">
        <v>252</v>
      </c>
      <c r="E127" s="18" t="s">
        <v>253</v>
      </c>
      <c r="F127" s="17"/>
      <c r="G127" s="19">
        <v>2400031452</v>
      </c>
      <c r="H127" s="18" t="s">
        <v>254</v>
      </c>
      <c r="I127" s="18" t="s">
        <v>12</v>
      </c>
      <c r="J127" s="18" t="s">
        <v>13</v>
      </c>
      <c r="K127" s="18" t="s">
        <v>15</v>
      </c>
      <c r="L127" s="18" t="s">
        <v>14</v>
      </c>
      <c r="M127" s="20">
        <v>9.01</v>
      </c>
      <c r="N127" s="18" t="s">
        <v>631</v>
      </c>
      <c r="O127" s="11">
        <v>0</v>
      </c>
      <c r="P127" s="12">
        <v>0</v>
      </c>
      <c r="Q127" s="5" t="s">
        <v>621</v>
      </c>
      <c r="R127" s="13" t="s">
        <v>656</v>
      </c>
      <c r="S127" s="5" t="str">
        <f>VLOOKUP(G127,[1]fc!$B$2:$D$707,3,0)</f>
        <v>24CS2255F</v>
      </c>
      <c r="T127" s="5" t="str">
        <f>VLOOKUP(G127,[1]fc!$B$2:$F$707,5,0)</f>
        <v>ADVANCED DATA STRUCTURES</v>
      </c>
      <c r="U127" s="14" t="s">
        <v>664</v>
      </c>
      <c r="V127" s="15" t="s">
        <v>665</v>
      </c>
      <c r="W127" s="15" t="s">
        <v>666</v>
      </c>
      <c r="X127" s="15" t="s">
        <v>667</v>
      </c>
      <c r="Y127" s="15" t="s">
        <v>668</v>
      </c>
      <c r="Z127" s="24" t="s">
        <v>669</v>
      </c>
      <c r="AA127" s="1" t="s">
        <v>672</v>
      </c>
      <c r="AB127" s="1" t="s">
        <v>673</v>
      </c>
      <c r="AC127" s="5"/>
      <c r="AD127" s="5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</row>
    <row r="128" spans="1:52" x14ac:dyDescent="0.3">
      <c r="A128" s="6">
        <v>127</v>
      </c>
      <c r="B128" s="17">
        <v>46177.492696759262</v>
      </c>
      <c r="C128" s="17">
        <v>46177.49422453704</v>
      </c>
      <c r="D128" s="18" t="s">
        <v>399</v>
      </c>
      <c r="E128" s="18" t="s">
        <v>400</v>
      </c>
      <c r="F128" s="17"/>
      <c r="G128" s="19">
        <v>2400032414</v>
      </c>
      <c r="H128" s="18" t="s">
        <v>401</v>
      </c>
      <c r="I128" s="18" t="s">
        <v>12</v>
      </c>
      <c r="J128" s="18" t="s">
        <v>13</v>
      </c>
      <c r="K128" s="18" t="s">
        <v>16</v>
      </c>
      <c r="L128" s="18" t="s">
        <v>14</v>
      </c>
      <c r="M128" s="20">
        <v>8.2200000000000006</v>
      </c>
      <c r="N128" s="18" t="s">
        <v>641</v>
      </c>
      <c r="O128" s="11">
        <v>0</v>
      </c>
      <c r="P128" s="21">
        <v>0</v>
      </c>
      <c r="Q128" s="5" t="s">
        <v>615</v>
      </c>
      <c r="R128" s="13" t="s">
        <v>656</v>
      </c>
      <c r="S128" s="5" t="str">
        <f>VLOOKUP(G128,[1]fc!$B$2:$D$707,3,0)</f>
        <v>24CS2239F</v>
      </c>
      <c r="T128" s="5" t="str">
        <f>VLOOKUP(G128,[1]fc!$B$2:$F$707,5,0)</f>
        <v>SOFTWARE VERIFICATION AND VALIDATION</v>
      </c>
      <c r="U128" s="1" t="s">
        <v>664</v>
      </c>
      <c r="V128" s="1" t="s">
        <v>665</v>
      </c>
      <c r="W128" s="1" t="s">
        <v>666</v>
      </c>
      <c r="X128" s="1" t="s">
        <v>667</v>
      </c>
      <c r="Y128" s="14" t="s">
        <v>672</v>
      </c>
      <c r="Z128" s="24" t="s">
        <v>673</v>
      </c>
      <c r="AA128" s="1" t="s">
        <v>675</v>
      </c>
      <c r="AB128" s="1" t="s">
        <v>676</v>
      </c>
      <c r="AC128" s="5"/>
      <c r="AD128" s="5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</row>
    <row r="129" spans="1:52" x14ac:dyDescent="0.3">
      <c r="A129" s="16">
        <v>128</v>
      </c>
      <c r="B129" s="7">
        <v>46177.63653935185</v>
      </c>
      <c r="C129" s="7">
        <v>46177.637476851851</v>
      </c>
      <c r="D129" s="8" t="s">
        <v>483</v>
      </c>
      <c r="E129" s="8" t="s">
        <v>484</v>
      </c>
      <c r="F129" s="7"/>
      <c r="G129" s="9">
        <v>2400032155</v>
      </c>
      <c r="H129" s="8" t="s">
        <v>485</v>
      </c>
      <c r="I129" s="8" t="s">
        <v>12</v>
      </c>
      <c r="J129" s="8" t="s">
        <v>13</v>
      </c>
      <c r="K129" s="8" t="s">
        <v>16</v>
      </c>
      <c r="L129" s="8" t="s">
        <v>14</v>
      </c>
      <c r="M129" s="10">
        <v>8.36</v>
      </c>
      <c r="N129" s="8" t="s">
        <v>631</v>
      </c>
      <c r="O129" s="11">
        <v>0</v>
      </c>
      <c r="P129" s="12">
        <v>0</v>
      </c>
      <c r="Q129" s="5" t="s">
        <v>621</v>
      </c>
      <c r="R129" s="13" t="s">
        <v>656</v>
      </c>
      <c r="S129" s="5" t="str">
        <f>VLOOKUP(G129,[1]fc!$B$2:$D$707,3,0)</f>
        <v>24CS2239F</v>
      </c>
      <c r="T129" s="5" t="str">
        <f>VLOOKUP(G129,[1]fc!$B$2:$F$707,5,0)</f>
        <v>SOFTWARE VERIFICATION AND VALIDATION</v>
      </c>
      <c r="U129" s="14" t="s">
        <v>664</v>
      </c>
      <c r="V129" s="15" t="s">
        <v>665</v>
      </c>
      <c r="W129" s="15" t="s">
        <v>666</v>
      </c>
      <c r="X129" s="15" t="s">
        <v>667</v>
      </c>
      <c r="Y129" s="15" t="s">
        <v>668</v>
      </c>
      <c r="Z129" s="24" t="s">
        <v>669</v>
      </c>
      <c r="AA129" s="1" t="s">
        <v>672</v>
      </c>
      <c r="AB129" s="1" t="s">
        <v>673</v>
      </c>
      <c r="AC129" s="5"/>
      <c r="AD129" s="5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</row>
    <row r="130" spans="1:52" x14ac:dyDescent="0.3">
      <c r="A130" s="6">
        <v>129</v>
      </c>
      <c r="B130" s="7">
        <v>46146.559733796297</v>
      </c>
      <c r="C130" s="7">
        <v>46146.562303240738</v>
      </c>
      <c r="D130" s="8" t="s">
        <v>192</v>
      </c>
      <c r="E130" s="8" t="s">
        <v>193</v>
      </c>
      <c r="F130" s="7"/>
      <c r="G130" s="9">
        <v>2400031407</v>
      </c>
      <c r="H130" s="8" t="s">
        <v>194</v>
      </c>
      <c r="I130" s="8" t="s">
        <v>12</v>
      </c>
      <c r="J130" s="8" t="s">
        <v>13</v>
      </c>
      <c r="K130" s="8" t="s">
        <v>15</v>
      </c>
      <c r="L130" s="8" t="s">
        <v>14</v>
      </c>
      <c r="M130" s="10">
        <v>8.4700000000000006</v>
      </c>
      <c r="N130" s="8" t="s">
        <v>638</v>
      </c>
      <c r="O130" s="11">
        <v>0</v>
      </c>
      <c r="P130" s="21">
        <v>0</v>
      </c>
      <c r="Q130" s="5" t="s">
        <v>621</v>
      </c>
      <c r="R130" s="13" t="s">
        <v>656</v>
      </c>
      <c r="S130" s="5" t="str">
        <f>VLOOKUP(G130,[1]fc!$B$2:$D$707,3,0)</f>
        <v>24CS2221F</v>
      </c>
      <c r="T130" s="5" t="str">
        <f>VLOOKUP(G130,[1]fc!$B$2:$F$707,5,0)</f>
        <v>UX DESIGN</v>
      </c>
      <c r="U130" s="14" t="s">
        <v>664</v>
      </c>
      <c r="V130" s="15" t="s">
        <v>665</v>
      </c>
      <c r="W130" s="15" t="s">
        <v>666</v>
      </c>
      <c r="X130" s="15" t="s">
        <v>667</v>
      </c>
      <c r="Y130" s="15" t="s">
        <v>668</v>
      </c>
      <c r="Z130" s="24" t="s">
        <v>669</v>
      </c>
      <c r="AA130" s="1" t="s">
        <v>672</v>
      </c>
      <c r="AB130" s="1" t="s">
        <v>673</v>
      </c>
      <c r="AC130" s="5"/>
      <c r="AD130" s="5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</row>
    <row r="131" spans="1:52" x14ac:dyDescent="0.3">
      <c r="A131" s="16">
        <v>130</v>
      </c>
      <c r="B131" s="7">
        <v>46146.405613425923</v>
      </c>
      <c r="C131" s="7">
        <v>46146.407546296294</v>
      </c>
      <c r="D131" s="8" t="s">
        <v>87</v>
      </c>
      <c r="E131" s="8" t="s">
        <v>88</v>
      </c>
      <c r="F131" s="7"/>
      <c r="G131" s="9">
        <v>2400030957</v>
      </c>
      <c r="H131" s="8" t="s">
        <v>89</v>
      </c>
      <c r="I131" s="8" t="s">
        <v>12</v>
      </c>
      <c r="J131" s="8" t="s">
        <v>13</v>
      </c>
      <c r="K131" s="8" t="s">
        <v>16</v>
      </c>
      <c r="L131" s="8" t="s">
        <v>14</v>
      </c>
      <c r="M131" s="10">
        <v>8.06</v>
      </c>
      <c r="N131" s="8" t="s">
        <v>644</v>
      </c>
      <c r="O131" s="11">
        <v>0</v>
      </c>
      <c r="P131" s="21">
        <v>0</v>
      </c>
      <c r="Q131" s="5" t="s">
        <v>615</v>
      </c>
      <c r="R131" s="13" t="s">
        <v>656</v>
      </c>
      <c r="S131" s="5" t="str">
        <f>VLOOKUP(G131,[1]fc!$B$2:$D$707,3,0)</f>
        <v>24CS2221F</v>
      </c>
      <c r="T131" s="5" t="str">
        <f>VLOOKUP(G131,[1]fc!$B$2:$F$707,5,0)</f>
        <v>UX DESIGN</v>
      </c>
      <c r="U131" s="1" t="s">
        <v>664</v>
      </c>
      <c r="V131" s="1" t="s">
        <v>665</v>
      </c>
      <c r="W131" s="1" t="s">
        <v>666</v>
      </c>
      <c r="X131" s="1" t="s">
        <v>667</v>
      </c>
      <c r="Y131" s="14" t="s">
        <v>672</v>
      </c>
      <c r="Z131" s="24" t="s">
        <v>673</v>
      </c>
      <c r="AA131" s="1" t="s">
        <v>675</v>
      </c>
      <c r="AB131" s="1" t="s">
        <v>676</v>
      </c>
      <c r="AC131" s="5"/>
      <c r="AD131" s="5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</row>
    <row r="132" spans="1:52" x14ac:dyDescent="0.3">
      <c r="A132" s="6">
        <v>131</v>
      </c>
      <c r="B132" s="17">
        <v>46146.418553240743</v>
      </c>
      <c r="C132" s="17">
        <v>46146.419074074074</v>
      </c>
      <c r="D132" s="18" t="s">
        <v>99</v>
      </c>
      <c r="E132" s="18" t="s">
        <v>100</v>
      </c>
      <c r="F132" s="17"/>
      <c r="G132" s="19">
        <v>2400030699</v>
      </c>
      <c r="H132" s="18" t="s">
        <v>101</v>
      </c>
      <c r="I132" s="18" t="s">
        <v>12</v>
      </c>
      <c r="J132" s="18" t="s">
        <v>13</v>
      </c>
      <c r="K132" s="18" t="s">
        <v>16</v>
      </c>
      <c r="L132" s="18" t="s">
        <v>14</v>
      </c>
      <c r="M132" s="20">
        <v>8.24</v>
      </c>
      <c r="N132" s="18" t="s">
        <v>644</v>
      </c>
      <c r="O132" s="11">
        <v>0</v>
      </c>
      <c r="P132" s="21">
        <v>0</v>
      </c>
      <c r="Q132" s="5" t="s">
        <v>616</v>
      </c>
      <c r="R132" s="13" t="s">
        <v>656</v>
      </c>
      <c r="S132" s="5" t="str">
        <f>VLOOKUP(G132,[1]fc!$B$2:$D$707,3,0)</f>
        <v>24CS2239F</v>
      </c>
      <c r="T132" s="5" t="str">
        <f>VLOOKUP(G132,[1]fc!$B$2:$F$707,5,0)</f>
        <v>SOFTWARE VERIFICATION AND VALIDATION</v>
      </c>
      <c r="U132" s="14" t="s">
        <v>664</v>
      </c>
      <c r="V132" s="15" t="s">
        <v>665</v>
      </c>
      <c r="W132" s="15" t="s">
        <v>666</v>
      </c>
      <c r="X132" s="15" t="s">
        <v>667</v>
      </c>
      <c r="Y132" s="15" t="s">
        <v>668</v>
      </c>
      <c r="Z132" s="24" t="s">
        <v>669</v>
      </c>
      <c r="AA132" s="1" t="s">
        <v>672</v>
      </c>
      <c r="AB132" s="1" t="s">
        <v>673</v>
      </c>
      <c r="AC132" s="5"/>
      <c r="AD132" s="5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 spans="1:52" x14ac:dyDescent="0.3">
      <c r="A133" s="16">
        <v>132</v>
      </c>
      <c r="B133" s="7">
        <v>46146.860162037039</v>
      </c>
      <c r="C133" s="7">
        <v>46146.861516203702</v>
      </c>
      <c r="D133" s="8" t="s">
        <v>249</v>
      </c>
      <c r="E133" s="8" t="s">
        <v>250</v>
      </c>
      <c r="F133" s="7"/>
      <c r="G133" s="9">
        <v>2400032051</v>
      </c>
      <c r="H133" s="8" t="s">
        <v>251</v>
      </c>
      <c r="I133" s="8" t="s">
        <v>12</v>
      </c>
      <c r="J133" s="8" t="s">
        <v>13</v>
      </c>
      <c r="K133" s="8" t="s">
        <v>16</v>
      </c>
      <c r="L133" s="8" t="s">
        <v>14</v>
      </c>
      <c r="M133" s="10">
        <v>8.69</v>
      </c>
      <c r="N133" s="8" t="s">
        <v>638</v>
      </c>
      <c r="O133" s="11">
        <v>0</v>
      </c>
      <c r="P133" s="21">
        <v>0</v>
      </c>
      <c r="Q133" s="5" t="s">
        <v>621</v>
      </c>
      <c r="R133" s="13" t="s">
        <v>656</v>
      </c>
      <c r="S133" s="5" t="str">
        <f>VLOOKUP(G133,[1]fc!$B$2:$D$707,3,0)</f>
        <v>24CS2255F</v>
      </c>
      <c r="T133" s="5" t="str">
        <f>VLOOKUP(G133,[1]fc!$B$2:$F$707,5,0)</f>
        <v>ADVANCED DATA STRUCTURES</v>
      </c>
      <c r="U133" s="14" t="s">
        <v>664</v>
      </c>
      <c r="V133" s="15" t="s">
        <v>665</v>
      </c>
      <c r="W133" s="15" t="s">
        <v>666</v>
      </c>
      <c r="X133" s="15" t="s">
        <v>667</v>
      </c>
      <c r="Y133" s="15" t="s">
        <v>668</v>
      </c>
      <c r="Z133" s="24" t="s">
        <v>669</v>
      </c>
      <c r="AA133" s="1" t="s">
        <v>672</v>
      </c>
      <c r="AB133" s="1" t="s">
        <v>673</v>
      </c>
      <c r="AC133" s="5"/>
      <c r="AD133" s="5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 spans="1:52" x14ac:dyDescent="0.3">
      <c r="A134" s="6">
        <v>133</v>
      </c>
      <c r="B134" s="17">
        <v>46177.393159722225</v>
      </c>
      <c r="C134" s="17">
        <v>46177.393611111111</v>
      </c>
      <c r="D134" s="18" t="s">
        <v>351</v>
      </c>
      <c r="E134" s="18" t="s">
        <v>352</v>
      </c>
      <c r="F134" s="17"/>
      <c r="G134" s="19">
        <v>2400032384</v>
      </c>
      <c r="H134" s="18" t="s">
        <v>353</v>
      </c>
      <c r="I134" s="18" t="s">
        <v>12</v>
      </c>
      <c r="J134" s="18" t="s">
        <v>13</v>
      </c>
      <c r="K134" s="18" t="s">
        <v>16</v>
      </c>
      <c r="L134" s="18" t="s">
        <v>14</v>
      </c>
      <c r="M134" s="20">
        <v>8.93</v>
      </c>
      <c r="N134" s="18" t="s">
        <v>638</v>
      </c>
      <c r="O134" s="11">
        <v>0</v>
      </c>
      <c r="P134" s="12">
        <v>0</v>
      </c>
      <c r="Q134" s="5" t="s">
        <v>621</v>
      </c>
      <c r="R134" s="13" t="s">
        <v>656</v>
      </c>
      <c r="S134" s="5" t="str">
        <f>VLOOKUP(G134,[1]fc!$B$2:$D$707,3,0)</f>
        <v>24CS2256F</v>
      </c>
      <c r="T134" s="5" t="str">
        <f>VLOOKUP(G134,[1]fc!$B$2:$F$707,5,0)</f>
        <v>FOUNDATIONS OF BLOCK CHAIN ENGINEERING</v>
      </c>
      <c r="U134" s="14" t="s">
        <v>664</v>
      </c>
      <c r="V134" s="15" t="s">
        <v>665</v>
      </c>
      <c r="W134" s="15" t="s">
        <v>666</v>
      </c>
      <c r="X134" s="15" t="s">
        <v>667</v>
      </c>
      <c r="Y134" s="15" t="s">
        <v>668</v>
      </c>
      <c r="Z134" s="24" t="s">
        <v>669</v>
      </c>
      <c r="AA134" s="1" t="s">
        <v>672</v>
      </c>
      <c r="AB134" s="1" t="s">
        <v>673</v>
      </c>
      <c r="AC134" s="5"/>
      <c r="AD134" s="5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 spans="1:52" x14ac:dyDescent="0.3">
      <c r="A135" s="16">
        <v>134</v>
      </c>
      <c r="B135" s="17">
        <v>46177.657442129632</v>
      </c>
      <c r="C135" s="17">
        <v>46177.658483796295</v>
      </c>
      <c r="D135" s="18" t="s">
        <v>498</v>
      </c>
      <c r="E135" s="18" t="s">
        <v>499</v>
      </c>
      <c r="F135" s="17"/>
      <c r="G135" s="19">
        <v>2400031115</v>
      </c>
      <c r="H135" s="18" t="s">
        <v>500</v>
      </c>
      <c r="I135" s="18" t="s">
        <v>12</v>
      </c>
      <c r="J135" s="18" t="s">
        <v>13</v>
      </c>
      <c r="K135" s="18" t="s">
        <v>15</v>
      </c>
      <c r="L135" s="18" t="s">
        <v>14</v>
      </c>
      <c r="M135" s="20">
        <v>8.3800000000000008</v>
      </c>
      <c r="N135" s="18" t="s">
        <v>644</v>
      </c>
      <c r="O135" s="11">
        <v>0</v>
      </c>
      <c r="P135" s="12">
        <v>0</v>
      </c>
      <c r="Q135" s="5" t="s">
        <v>617</v>
      </c>
      <c r="R135" s="13" t="s">
        <v>656</v>
      </c>
      <c r="S135" s="5" t="str">
        <f>VLOOKUP(G135,[1]fc!$B$2:$D$707,3,0)</f>
        <v>24CS2255F</v>
      </c>
      <c r="T135" s="5" t="str">
        <f>VLOOKUP(G135,[1]fc!$B$2:$F$707,5,0)</f>
        <v>ADVANCED DATA STRUCTURES</v>
      </c>
      <c r="U135" s="1" t="s">
        <v>664</v>
      </c>
      <c r="V135" s="1" t="s">
        <v>665</v>
      </c>
      <c r="W135" s="1" t="s">
        <v>666</v>
      </c>
      <c r="X135" s="1" t="s">
        <v>667</v>
      </c>
      <c r="Y135" s="14" t="s">
        <v>672</v>
      </c>
      <c r="Z135" s="24" t="s">
        <v>673</v>
      </c>
      <c r="AA135" s="1" t="s">
        <v>675</v>
      </c>
      <c r="AB135" s="1" t="s">
        <v>676</v>
      </c>
      <c r="AC135" s="5"/>
      <c r="AD135" s="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 spans="1:52" x14ac:dyDescent="0.3">
      <c r="A136" s="6">
        <v>135</v>
      </c>
      <c r="B136" s="7">
        <v>46177.808171296296</v>
      </c>
      <c r="C136" s="7">
        <v>46177.808344907404</v>
      </c>
      <c r="D136" s="8" t="s">
        <v>552</v>
      </c>
      <c r="E136" s="8" t="s">
        <v>553</v>
      </c>
      <c r="F136" s="7"/>
      <c r="G136" s="9">
        <v>2400031395</v>
      </c>
      <c r="H136" s="8" t="s">
        <v>554</v>
      </c>
      <c r="I136" s="8" t="s">
        <v>12</v>
      </c>
      <c r="J136" s="8" t="s">
        <v>13</v>
      </c>
      <c r="K136" s="8" t="s">
        <v>15</v>
      </c>
      <c r="L136" s="8" t="s">
        <v>14</v>
      </c>
      <c r="M136" s="10">
        <v>8.43</v>
      </c>
      <c r="N136" s="8" t="s">
        <v>644</v>
      </c>
      <c r="O136" s="11">
        <v>0</v>
      </c>
      <c r="P136" s="12">
        <v>0</v>
      </c>
      <c r="Q136" s="5" t="s">
        <v>616</v>
      </c>
      <c r="R136" s="13" t="s">
        <v>656</v>
      </c>
      <c r="S136" s="5" t="str">
        <f>VLOOKUP(G136,[1]fc!$B$2:$D$707,3,0)</f>
        <v>24CS2255F</v>
      </c>
      <c r="T136" s="5" t="str">
        <f>VLOOKUP(G136,[1]fc!$B$2:$F$707,5,0)</f>
        <v>ADVANCED DATA STRUCTURES</v>
      </c>
      <c r="U136" s="14" t="s">
        <v>664</v>
      </c>
      <c r="V136" s="15" t="s">
        <v>665</v>
      </c>
      <c r="W136" s="15" t="s">
        <v>666</v>
      </c>
      <c r="X136" s="15" t="s">
        <v>667</v>
      </c>
      <c r="Y136" s="15" t="s">
        <v>668</v>
      </c>
      <c r="Z136" s="24" t="s">
        <v>669</v>
      </c>
      <c r="AA136" s="1" t="s">
        <v>672</v>
      </c>
      <c r="AB136" s="1" t="s">
        <v>673</v>
      </c>
      <c r="AC136" s="5"/>
      <c r="AD136" s="5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 spans="1:52" x14ac:dyDescent="0.3">
      <c r="A137" s="16">
        <v>136</v>
      </c>
      <c r="B137" s="17">
        <v>46177.932766203703</v>
      </c>
      <c r="C137" s="17">
        <v>46177.933437500003</v>
      </c>
      <c r="D137" s="18" t="s">
        <v>558</v>
      </c>
      <c r="E137" s="18" t="s">
        <v>559</v>
      </c>
      <c r="F137" s="17"/>
      <c r="G137" s="19">
        <v>2400031424</v>
      </c>
      <c r="H137" s="18" t="s">
        <v>560</v>
      </c>
      <c r="I137" s="18" t="s">
        <v>12</v>
      </c>
      <c r="J137" s="18" t="s">
        <v>13</v>
      </c>
      <c r="K137" s="18" t="s">
        <v>16</v>
      </c>
      <c r="L137" s="18" t="s">
        <v>14</v>
      </c>
      <c r="M137" s="20">
        <v>8.26</v>
      </c>
      <c r="N137" s="18" t="s">
        <v>644</v>
      </c>
      <c r="O137" s="11">
        <v>0</v>
      </c>
      <c r="P137" s="21">
        <v>0</v>
      </c>
      <c r="Q137" s="5" t="s">
        <v>622</v>
      </c>
      <c r="R137" s="13" t="s">
        <v>656</v>
      </c>
      <c r="S137" s="5" t="str">
        <f>VLOOKUP(G137,[1]fc!$B$2:$D$707,3,0)</f>
        <v>24CS2237F</v>
      </c>
      <c r="T137" s="5" t="str">
        <f>VLOOKUP(G137,[1]fc!$B$2:$F$707,5,0)</f>
        <v>QUANTUM COMPUTING</v>
      </c>
      <c r="U137" s="1" t="s">
        <v>664</v>
      </c>
      <c r="V137" s="1" t="s">
        <v>665</v>
      </c>
      <c r="W137" s="1" t="s">
        <v>666</v>
      </c>
      <c r="X137" s="1" t="s">
        <v>667</v>
      </c>
      <c r="Y137" s="1" t="s">
        <v>668</v>
      </c>
      <c r="Z137" s="25" t="s">
        <v>669</v>
      </c>
      <c r="AA137" s="5"/>
      <c r="AB137" s="5"/>
      <c r="AC137" s="5"/>
      <c r="AD137" s="5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 spans="1:52" x14ac:dyDescent="0.3">
      <c r="A138" s="6">
        <v>137</v>
      </c>
      <c r="B138" s="7">
        <v>46207.463136574072</v>
      </c>
      <c r="C138" s="7">
        <v>46207.463217592594</v>
      </c>
      <c r="D138" s="8" t="s">
        <v>579</v>
      </c>
      <c r="E138" s="8" t="s">
        <v>580</v>
      </c>
      <c r="F138" s="7"/>
      <c r="G138" s="9">
        <v>2400032821</v>
      </c>
      <c r="H138" s="8" t="s">
        <v>581</v>
      </c>
      <c r="I138" s="8" t="s">
        <v>12</v>
      </c>
      <c r="J138" s="8" t="s">
        <v>13</v>
      </c>
      <c r="K138" s="8" t="s">
        <v>15</v>
      </c>
      <c r="L138" s="8" t="s">
        <v>14</v>
      </c>
      <c r="M138" s="10">
        <v>8.24</v>
      </c>
      <c r="N138" s="8" t="s">
        <v>644</v>
      </c>
      <c r="O138" s="11">
        <v>0</v>
      </c>
      <c r="P138" s="21">
        <v>0</v>
      </c>
      <c r="Q138" s="5" t="s">
        <v>613</v>
      </c>
      <c r="R138" s="13" t="s">
        <v>656</v>
      </c>
      <c r="S138" s="5" t="str">
        <f>VLOOKUP(G138,[1]fc!$B$2:$D$707,3,0)</f>
        <v>24CS2224F</v>
      </c>
      <c r="T138" s="5" t="str">
        <f>VLOOKUP(G138,[1]fc!$B$2:$F$707,5,0)</f>
        <v>CRYPT ANALYSIS AND CYBER DEFENCE</v>
      </c>
      <c r="U138" s="14" t="s">
        <v>664</v>
      </c>
      <c r="V138" s="15" t="s">
        <v>665</v>
      </c>
      <c r="W138" s="15" t="s">
        <v>666</v>
      </c>
      <c r="X138" s="15" t="s">
        <v>667</v>
      </c>
      <c r="Y138" s="15" t="s">
        <v>668</v>
      </c>
      <c r="Z138" s="24" t="s">
        <v>669</v>
      </c>
      <c r="AA138" s="1" t="s">
        <v>672</v>
      </c>
      <c r="AB138" s="1" t="s">
        <v>673</v>
      </c>
      <c r="AC138" s="5"/>
      <c r="AD138" s="5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 spans="1:52" x14ac:dyDescent="0.3">
      <c r="A139" s="16">
        <v>138</v>
      </c>
      <c r="B139" s="17">
        <v>46177.603645833333</v>
      </c>
      <c r="C139" s="17">
        <v>46177.604351851849</v>
      </c>
      <c r="D139" s="18" t="s">
        <v>471</v>
      </c>
      <c r="E139" s="18" t="s">
        <v>472</v>
      </c>
      <c r="F139" s="17"/>
      <c r="G139" s="19">
        <v>2400032361</v>
      </c>
      <c r="H139" s="18" t="s">
        <v>473</v>
      </c>
      <c r="I139" s="18" t="s">
        <v>12</v>
      </c>
      <c r="J139" s="18" t="s">
        <v>13</v>
      </c>
      <c r="K139" s="18" t="s">
        <v>16</v>
      </c>
      <c r="L139" s="18" t="s">
        <v>14</v>
      </c>
      <c r="M139" s="20">
        <v>9.17</v>
      </c>
      <c r="N139" s="18" t="s">
        <v>638</v>
      </c>
      <c r="O139" s="11">
        <v>0</v>
      </c>
      <c r="P139" s="21">
        <v>0</v>
      </c>
      <c r="Q139" s="5" t="s">
        <v>621</v>
      </c>
      <c r="R139" s="13" t="s">
        <v>656</v>
      </c>
      <c r="S139" s="5" t="str">
        <f>VLOOKUP(G139,[1]fc!$B$2:$D$707,3,0)</f>
        <v>24CS2227F</v>
      </c>
      <c r="T139" s="5" t="str">
        <f>VLOOKUP(G139,[1]fc!$B$2:$F$707,5,0)</f>
        <v>DATA ANALYTICS AND VISUALIZATION</v>
      </c>
      <c r="U139" s="22" t="s">
        <v>664</v>
      </c>
      <c r="V139" s="22" t="s">
        <v>665</v>
      </c>
      <c r="W139" s="22" t="s">
        <v>666</v>
      </c>
      <c r="X139" s="22" t="s">
        <v>667</v>
      </c>
      <c r="Y139" s="22" t="s">
        <v>668</v>
      </c>
      <c r="Z139" s="22" t="s">
        <v>669</v>
      </c>
      <c r="AA139" s="5"/>
      <c r="AB139" s="5"/>
      <c r="AC139" s="5"/>
      <c r="AD139" s="5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</row>
    <row r="140" spans="1:52" x14ac:dyDescent="0.3">
      <c r="A140" s="6">
        <v>139</v>
      </c>
      <c r="B140" s="7">
        <v>46116.944016203706</v>
      </c>
      <c r="C140" s="7">
        <v>46116.944155092591</v>
      </c>
      <c r="D140" s="8" t="s">
        <v>28</v>
      </c>
      <c r="E140" s="8" t="s">
        <v>29</v>
      </c>
      <c r="F140" s="7"/>
      <c r="G140" s="9">
        <v>2400031915</v>
      </c>
      <c r="H140" s="8" t="s">
        <v>30</v>
      </c>
      <c r="I140" s="8" t="s">
        <v>12</v>
      </c>
      <c r="J140" s="8" t="s">
        <v>13</v>
      </c>
      <c r="K140" s="8" t="s">
        <v>15</v>
      </c>
      <c r="L140" s="8" t="s">
        <v>14</v>
      </c>
      <c r="M140" s="10">
        <v>8.3800000000000008</v>
      </c>
      <c r="N140" s="8" t="s">
        <v>628</v>
      </c>
      <c r="O140" s="11">
        <v>0</v>
      </c>
      <c r="P140" s="21">
        <v>0</v>
      </c>
      <c r="Q140" s="5" t="s">
        <v>615</v>
      </c>
      <c r="R140" s="13" t="s">
        <v>656</v>
      </c>
      <c r="S140" s="5" t="str">
        <f>VLOOKUP(G140,[1]fc!$B$2:$D$707,3,0)</f>
        <v>24CS2221F</v>
      </c>
      <c r="T140" s="5" t="str">
        <f>VLOOKUP(G140,[1]fc!$B$2:$F$707,5,0)</f>
        <v>UX DESIGN</v>
      </c>
      <c r="U140" s="1" t="s">
        <v>664</v>
      </c>
      <c r="V140" s="1" t="s">
        <v>665</v>
      </c>
      <c r="W140" s="1" t="s">
        <v>666</v>
      </c>
      <c r="X140" s="1" t="s">
        <v>667</v>
      </c>
      <c r="Y140" s="14" t="s">
        <v>672</v>
      </c>
      <c r="Z140" s="24" t="s">
        <v>673</v>
      </c>
      <c r="AA140" s="1" t="s">
        <v>675</v>
      </c>
      <c r="AB140" s="1" t="s">
        <v>676</v>
      </c>
      <c r="AC140" s="5"/>
      <c r="AD140" s="5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 spans="1:52" x14ac:dyDescent="0.3">
      <c r="A141" s="16">
        <v>140</v>
      </c>
      <c r="B141" s="17">
        <v>46146.375578703701</v>
      </c>
      <c r="C141" s="17">
        <v>46146.376076388886</v>
      </c>
      <c r="D141" s="18" t="s">
        <v>37</v>
      </c>
      <c r="E141" s="18" t="s">
        <v>38</v>
      </c>
      <c r="F141" s="17"/>
      <c r="G141" s="19">
        <v>2400032682</v>
      </c>
      <c r="H141" s="18" t="s">
        <v>39</v>
      </c>
      <c r="I141" s="18" t="s">
        <v>12</v>
      </c>
      <c r="J141" s="18" t="s">
        <v>13</v>
      </c>
      <c r="K141" s="18" t="s">
        <v>16</v>
      </c>
      <c r="L141" s="18" t="s">
        <v>14</v>
      </c>
      <c r="M141" s="20">
        <v>9.15</v>
      </c>
      <c r="N141" s="18" t="s">
        <v>628</v>
      </c>
      <c r="O141" s="11">
        <v>0</v>
      </c>
      <c r="P141" s="21">
        <v>0</v>
      </c>
      <c r="Q141" s="5" t="s">
        <v>613</v>
      </c>
      <c r="R141" s="13" t="s">
        <v>656</v>
      </c>
      <c r="S141" s="5" t="str">
        <f>VLOOKUP(G141,[1]fc!$B$2:$D$707,3,0)</f>
        <v>24CS2256F</v>
      </c>
      <c r="T141" s="5" t="str">
        <f>VLOOKUP(G141,[1]fc!$B$2:$F$707,5,0)</f>
        <v>FOUNDATIONS OF BLOCK CHAIN ENGINEERING</v>
      </c>
      <c r="U141" s="14" t="s">
        <v>664</v>
      </c>
      <c r="V141" s="15" t="s">
        <v>665</v>
      </c>
      <c r="W141" s="15" t="s">
        <v>666</v>
      </c>
      <c r="X141" s="15" t="s">
        <v>667</v>
      </c>
      <c r="Y141" s="15" t="s">
        <v>668</v>
      </c>
      <c r="Z141" s="24" t="s">
        <v>669</v>
      </c>
      <c r="AA141" s="1" t="s">
        <v>672</v>
      </c>
      <c r="AB141" s="1" t="s">
        <v>673</v>
      </c>
      <c r="AC141" s="5"/>
      <c r="AD141" s="5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 spans="1:52" x14ac:dyDescent="0.3">
      <c r="A142" s="6">
        <v>141</v>
      </c>
      <c r="B142" s="17">
        <v>46146.449699074074</v>
      </c>
      <c r="C142" s="17">
        <v>46146.449942129628</v>
      </c>
      <c r="D142" s="18" t="s">
        <v>132</v>
      </c>
      <c r="E142" s="18" t="s">
        <v>133</v>
      </c>
      <c r="F142" s="17"/>
      <c r="G142" s="19">
        <v>2400031375</v>
      </c>
      <c r="H142" s="18" t="s">
        <v>134</v>
      </c>
      <c r="I142" s="18" t="s">
        <v>12</v>
      </c>
      <c r="J142" s="18" t="s">
        <v>13</v>
      </c>
      <c r="K142" s="18" t="s">
        <v>15</v>
      </c>
      <c r="L142" s="18" t="s">
        <v>14</v>
      </c>
      <c r="M142" s="20">
        <v>8.07</v>
      </c>
      <c r="N142" s="18" t="s">
        <v>628</v>
      </c>
      <c r="O142" s="11">
        <v>0</v>
      </c>
      <c r="P142" s="21">
        <v>0</v>
      </c>
      <c r="Q142" s="5" t="s">
        <v>616</v>
      </c>
      <c r="R142" s="13" t="s">
        <v>656</v>
      </c>
      <c r="S142" s="5" t="str">
        <f>VLOOKUP(G142,[1]fc!$B$2:$D$707,3,0)</f>
        <v>24CS2221F</v>
      </c>
      <c r="T142" s="5" t="str">
        <f>VLOOKUP(G142,[1]fc!$B$2:$F$707,5,0)</f>
        <v>UX DESIGN</v>
      </c>
      <c r="U142" s="14" t="s">
        <v>664</v>
      </c>
      <c r="V142" s="15" t="s">
        <v>665</v>
      </c>
      <c r="W142" s="15" t="s">
        <v>666</v>
      </c>
      <c r="X142" s="15" t="s">
        <v>667</v>
      </c>
      <c r="Y142" s="15" t="s">
        <v>668</v>
      </c>
      <c r="Z142" s="24" t="s">
        <v>669</v>
      </c>
      <c r="AA142" s="1" t="s">
        <v>672</v>
      </c>
      <c r="AB142" s="1" t="s">
        <v>673</v>
      </c>
      <c r="AC142" s="5"/>
      <c r="AD142" s="5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</row>
    <row r="143" spans="1:52" x14ac:dyDescent="0.3">
      <c r="A143" s="16">
        <v>142</v>
      </c>
      <c r="B143" s="17">
        <v>46146.487905092596</v>
      </c>
      <c r="C143" s="17">
        <v>46146.488356481481</v>
      </c>
      <c r="D143" s="18" t="s">
        <v>156</v>
      </c>
      <c r="E143" s="18" t="s">
        <v>157</v>
      </c>
      <c r="F143" s="17"/>
      <c r="G143" s="19">
        <v>2400030190</v>
      </c>
      <c r="H143" s="18" t="s">
        <v>158</v>
      </c>
      <c r="I143" s="18" t="s">
        <v>12</v>
      </c>
      <c r="J143" s="18" t="s">
        <v>13</v>
      </c>
      <c r="K143" s="18" t="s">
        <v>15</v>
      </c>
      <c r="L143" s="18" t="s">
        <v>14</v>
      </c>
      <c r="M143" s="20">
        <v>9.23</v>
      </c>
      <c r="N143" s="18" t="s">
        <v>628</v>
      </c>
      <c r="O143" s="11">
        <v>0</v>
      </c>
      <c r="P143" s="21">
        <v>0</v>
      </c>
      <c r="Q143" s="5" t="s">
        <v>613</v>
      </c>
      <c r="R143" s="13" t="s">
        <v>656</v>
      </c>
      <c r="S143" s="5" t="str">
        <f>VLOOKUP(G143,[1]fc!$B$2:$D$707,3,0)</f>
        <v>24CS2239F</v>
      </c>
      <c r="T143" s="5" t="str">
        <f>VLOOKUP(G143,[1]fc!$B$2:$F$707,5,0)</f>
        <v>SOFTWARE VERIFICATION AND VALIDATION</v>
      </c>
      <c r="U143" s="14" t="s">
        <v>664</v>
      </c>
      <c r="V143" s="15" t="s">
        <v>665</v>
      </c>
      <c r="W143" s="15" t="s">
        <v>666</v>
      </c>
      <c r="X143" s="15" t="s">
        <v>667</v>
      </c>
      <c r="Y143" s="15" t="s">
        <v>668</v>
      </c>
      <c r="Z143" s="24" t="s">
        <v>669</v>
      </c>
      <c r="AA143" s="1" t="s">
        <v>672</v>
      </c>
      <c r="AB143" s="1" t="s">
        <v>673</v>
      </c>
      <c r="AC143" s="5"/>
      <c r="AD143" s="5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 spans="1:52" x14ac:dyDescent="0.3">
      <c r="A144" s="6">
        <v>143</v>
      </c>
      <c r="B144" s="17">
        <v>46146.491296296299</v>
      </c>
      <c r="C144" s="17">
        <v>46146.491516203707</v>
      </c>
      <c r="D144" s="18" t="s">
        <v>162</v>
      </c>
      <c r="E144" s="18" t="s">
        <v>163</v>
      </c>
      <c r="F144" s="17"/>
      <c r="G144" s="19">
        <v>2400030208</v>
      </c>
      <c r="H144" s="18" t="s">
        <v>164</v>
      </c>
      <c r="I144" s="18" t="s">
        <v>12</v>
      </c>
      <c r="J144" s="18" t="s">
        <v>13</v>
      </c>
      <c r="K144" s="18" t="s">
        <v>15</v>
      </c>
      <c r="L144" s="18" t="s">
        <v>14</v>
      </c>
      <c r="M144" s="20">
        <v>9.2100000000000009</v>
      </c>
      <c r="N144" s="18" t="s">
        <v>628</v>
      </c>
      <c r="O144" s="11">
        <v>0</v>
      </c>
      <c r="P144" s="21">
        <v>0</v>
      </c>
      <c r="Q144" s="5" t="s">
        <v>613</v>
      </c>
      <c r="R144" s="13" t="s">
        <v>656</v>
      </c>
      <c r="S144" s="5" t="str">
        <f>VLOOKUP(G144,[1]fc!$B$2:$D$707,3,0)</f>
        <v>24CS2221F</v>
      </c>
      <c r="T144" s="5" t="str">
        <f>VLOOKUP(G144,[1]fc!$B$2:$F$707,5,0)</f>
        <v>UX DESIGN</v>
      </c>
      <c r="U144" s="14" t="s">
        <v>664</v>
      </c>
      <c r="V144" s="15" t="s">
        <v>665</v>
      </c>
      <c r="W144" s="15" t="s">
        <v>666</v>
      </c>
      <c r="X144" s="15" t="s">
        <v>667</v>
      </c>
      <c r="Y144" s="15" t="s">
        <v>668</v>
      </c>
      <c r="Z144" s="24" t="s">
        <v>669</v>
      </c>
      <c r="AA144" s="1" t="s">
        <v>672</v>
      </c>
      <c r="AB144" s="1" t="s">
        <v>673</v>
      </c>
      <c r="AC144" s="5"/>
      <c r="AD144" s="5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 spans="1:52" x14ac:dyDescent="0.3">
      <c r="A145" s="16">
        <v>144</v>
      </c>
      <c r="B145" s="7">
        <v>46177.712685185186</v>
      </c>
      <c r="C145" s="7">
        <v>46177.713043981479</v>
      </c>
      <c r="D145" s="8" t="s">
        <v>528</v>
      </c>
      <c r="E145" s="8" t="s">
        <v>529</v>
      </c>
      <c r="F145" s="7"/>
      <c r="G145" s="9">
        <v>2400032122</v>
      </c>
      <c r="H145" s="8" t="s">
        <v>530</v>
      </c>
      <c r="I145" s="8" t="s">
        <v>12</v>
      </c>
      <c r="J145" s="8" t="s">
        <v>13</v>
      </c>
      <c r="K145" s="8" t="s">
        <v>15</v>
      </c>
      <c r="L145" s="8" t="s">
        <v>14</v>
      </c>
      <c r="M145" s="10">
        <v>8.68</v>
      </c>
      <c r="N145" s="8" t="s">
        <v>638</v>
      </c>
      <c r="O145" s="11">
        <v>0</v>
      </c>
      <c r="P145" s="21">
        <v>0</v>
      </c>
      <c r="Q145" s="5" t="s">
        <v>621</v>
      </c>
      <c r="R145" s="13" t="s">
        <v>656</v>
      </c>
      <c r="S145" s="5" t="str">
        <f>VLOOKUP(G145,[1]fc!$B$2:$D$707,3,0)</f>
        <v>24CS2224F</v>
      </c>
      <c r="T145" s="5" t="str">
        <f>VLOOKUP(G145,[1]fc!$B$2:$F$707,5,0)</f>
        <v>CRYPT ANALYSIS AND CYBER DEFENCE</v>
      </c>
      <c r="U145" s="14" t="s">
        <v>664</v>
      </c>
      <c r="V145" s="15" t="s">
        <v>665</v>
      </c>
      <c r="W145" s="15" t="s">
        <v>666</v>
      </c>
      <c r="X145" s="15" t="s">
        <v>667</v>
      </c>
      <c r="Y145" s="15" t="s">
        <v>668</v>
      </c>
      <c r="Z145" s="24" t="s">
        <v>669</v>
      </c>
      <c r="AA145" s="1" t="s">
        <v>672</v>
      </c>
      <c r="AB145" s="1" t="s">
        <v>673</v>
      </c>
      <c r="AC145" s="5"/>
      <c r="AD145" s="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</row>
    <row r="146" spans="1:52" x14ac:dyDescent="0.3">
      <c r="A146" s="6">
        <v>145</v>
      </c>
      <c r="B146" s="7">
        <v>46146.615300925929</v>
      </c>
      <c r="C146" s="7">
        <v>46146.615474537037</v>
      </c>
      <c r="D146" s="8" t="s">
        <v>201</v>
      </c>
      <c r="E146" s="8" t="s">
        <v>202</v>
      </c>
      <c r="F146" s="7"/>
      <c r="G146" s="9">
        <v>2400030853</v>
      </c>
      <c r="H146" s="8" t="s">
        <v>203</v>
      </c>
      <c r="I146" s="8" t="s">
        <v>12</v>
      </c>
      <c r="J146" s="8" t="s">
        <v>13</v>
      </c>
      <c r="K146" s="8" t="s">
        <v>15</v>
      </c>
      <c r="L146" s="8" t="s">
        <v>14</v>
      </c>
      <c r="M146" s="10">
        <v>8.4499999999999993</v>
      </c>
      <c r="N146" s="8" t="s">
        <v>628</v>
      </c>
      <c r="O146" s="11">
        <v>0</v>
      </c>
      <c r="P146" s="21">
        <v>0</v>
      </c>
      <c r="Q146" s="5" t="s">
        <v>616</v>
      </c>
      <c r="R146" s="13" t="s">
        <v>656</v>
      </c>
      <c r="S146" s="5" t="str">
        <f>VLOOKUP(G146,[1]fc!$B$2:$D$707,3,0)</f>
        <v>24CS2255F</v>
      </c>
      <c r="T146" s="5" t="str">
        <f>VLOOKUP(G146,[1]fc!$B$2:$F$707,5,0)</f>
        <v>ADVANCED DATA STRUCTURES</v>
      </c>
      <c r="U146" s="14" t="s">
        <v>664</v>
      </c>
      <c r="V146" s="15" t="s">
        <v>665</v>
      </c>
      <c r="W146" s="15" t="s">
        <v>666</v>
      </c>
      <c r="X146" s="15" t="s">
        <v>667</v>
      </c>
      <c r="Y146" s="15" t="s">
        <v>668</v>
      </c>
      <c r="Z146" s="24" t="s">
        <v>669</v>
      </c>
      <c r="AA146" s="1" t="s">
        <v>672</v>
      </c>
      <c r="AB146" s="1" t="s">
        <v>673</v>
      </c>
      <c r="AC146" s="5"/>
      <c r="AD146" s="5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 spans="1:52" x14ac:dyDescent="0.3">
      <c r="A147" s="16">
        <v>146</v>
      </c>
      <c r="B147" s="17">
        <v>46146.629374999997</v>
      </c>
      <c r="C147" s="17">
        <v>46146.630219907405</v>
      </c>
      <c r="D147" s="18" t="s">
        <v>204</v>
      </c>
      <c r="E147" s="18" t="s">
        <v>205</v>
      </c>
      <c r="F147" s="17"/>
      <c r="G147" s="19">
        <v>2400031248</v>
      </c>
      <c r="H147" s="18" t="s">
        <v>206</v>
      </c>
      <c r="I147" s="18" t="s">
        <v>12</v>
      </c>
      <c r="J147" s="18" t="s">
        <v>13</v>
      </c>
      <c r="K147" s="18" t="s">
        <v>16</v>
      </c>
      <c r="L147" s="18" t="s">
        <v>14</v>
      </c>
      <c r="M147" s="20">
        <v>8.66</v>
      </c>
      <c r="N147" s="18" t="s">
        <v>628</v>
      </c>
      <c r="O147" s="11">
        <v>0</v>
      </c>
      <c r="P147" s="21">
        <v>0</v>
      </c>
      <c r="Q147" s="5" t="s">
        <v>622</v>
      </c>
      <c r="R147" s="13" t="s">
        <v>656</v>
      </c>
      <c r="S147" s="5" t="str">
        <f>VLOOKUP(G147,[1]fc!$B$2:$D$707,3,0)</f>
        <v>24CS2221F</v>
      </c>
      <c r="T147" s="5" t="str">
        <f>VLOOKUP(G147,[1]fc!$B$2:$F$707,5,0)</f>
        <v>UX DESIGN</v>
      </c>
      <c r="U147" s="1" t="s">
        <v>664</v>
      </c>
      <c r="V147" s="1" t="s">
        <v>665</v>
      </c>
      <c r="W147" s="1" t="s">
        <v>666</v>
      </c>
      <c r="X147" s="1" t="s">
        <v>667</v>
      </c>
      <c r="Y147" s="1" t="s">
        <v>668</v>
      </c>
      <c r="Z147" s="25" t="s">
        <v>669</v>
      </c>
      <c r="AA147" s="5"/>
      <c r="AB147" s="5"/>
      <c r="AC147" s="5"/>
      <c r="AD147" s="5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 spans="1:52" x14ac:dyDescent="0.3">
      <c r="A148" s="6">
        <v>147</v>
      </c>
      <c r="B148" s="7">
        <v>46146.651226851849</v>
      </c>
      <c r="C148" s="7">
        <v>46146.651655092595</v>
      </c>
      <c r="D148" s="8" t="s">
        <v>213</v>
      </c>
      <c r="E148" s="8" t="s">
        <v>214</v>
      </c>
      <c r="F148" s="7"/>
      <c r="G148" s="9">
        <v>2400032535</v>
      </c>
      <c r="H148" s="8" t="s">
        <v>215</v>
      </c>
      <c r="I148" s="8" t="s">
        <v>12</v>
      </c>
      <c r="J148" s="8" t="s">
        <v>13</v>
      </c>
      <c r="K148" s="8" t="s">
        <v>16</v>
      </c>
      <c r="L148" s="8" t="s">
        <v>14</v>
      </c>
      <c r="M148" s="10">
        <v>8.67</v>
      </c>
      <c r="N148" s="8" t="s">
        <v>628</v>
      </c>
      <c r="O148" s="11">
        <v>0</v>
      </c>
      <c r="P148" s="21">
        <v>0</v>
      </c>
      <c r="Q148" s="5" t="s">
        <v>613</v>
      </c>
      <c r="R148" s="13" t="s">
        <v>656</v>
      </c>
      <c r="S148" s="5" t="str">
        <f>VLOOKUP(G148,[1]fc!$B$2:$D$707,3,0)</f>
        <v>24CS2256F</v>
      </c>
      <c r="T148" s="5" t="str">
        <f>VLOOKUP(G148,[1]fc!$B$2:$F$707,5,0)</f>
        <v>FOUNDATIONS OF BLOCK CHAIN ENGINEERING</v>
      </c>
      <c r="U148" s="14" t="s">
        <v>664</v>
      </c>
      <c r="V148" s="15" t="s">
        <v>665</v>
      </c>
      <c r="W148" s="15" t="s">
        <v>666</v>
      </c>
      <c r="X148" s="15" t="s">
        <v>667</v>
      </c>
      <c r="Y148" s="15" t="s">
        <v>668</v>
      </c>
      <c r="Z148" s="24" t="s">
        <v>669</v>
      </c>
      <c r="AA148" s="1" t="s">
        <v>672</v>
      </c>
      <c r="AB148" s="1" t="s">
        <v>673</v>
      </c>
      <c r="AC148" s="5"/>
      <c r="AD148" s="5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 spans="1:52" x14ac:dyDescent="0.3">
      <c r="A149" s="16">
        <v>148</v>
      </c>
      <c r="B149" s="7">
        <v>46146.878009259257</v>
      </c>
      <c r="C149" s="7">
        <v>46146.878981481481</v>
      </c>
      <c r="D149" s="8" t="s">
        <v>261</v>
      </c>
      <c r="E149" s="8" t="s">
        <v>262</v>
      </c>
      <c r="F149" s="7"/>
      <c r="G149" s="9">
        <v>2400030403</v>
      </c>
      <c r="H149" s="8" t="s">
        <v>263</v>
      </c>
      <c r="I149" s="8" t="s">
        <v>12</v>
      </c>
      <c r="J149" s="8" t="s">
        <v>13</v>
      </c>
      <c r="K149" s="8" t="s">
        <v>16</v>
      </c>
      <c r="L149" s="8" t="s">
        <v>14</v>
      </c>
      <c r="M149" s="10">
        <v>9.08</v>
      </c>
      <c r="N149" s="8" t="s">
        <v>628</v>
      </c>
      <c r="O149" s="11">
        <v>0</v>
      </c>
      <c r="P149" s="21">
        <v>0</v>
      </c>
      <c r="Q149" s="5" t="s">
        <v>613</v>
      </c>
      <c r="R149" s="13" t="s">
        <v>656</v>
      </c>
      <c r="S149" s="5" t="str">
        <f>VLOOKUP(G149,[1]fc!$B$2:$D$707,3,0)</f>
        <v>24CS2255F</v>
      </c>
      <c r="T149" s="5" t="str">
        <f>VLOOKUP(G149,[1]fc!$B$2:$F$707,5,0)</f>
        <v>ADVANCED DATA STRUCTURES</v>
      </c>
      <c r="U149" s="14" t="s">
        <v>664</v>
      </c>
      <c r="V149" s="15" t="s">
        <v>665</v>
      </c>
      <c r="W149" s="15" t="s">
        <v>666</v>
      </c>
      <c r="X149" s="15" t="s">
        <v>667</v>
      </c>
      <c r="Y149" s="15" t="s">
        <v>668</v>
      </c>
      <c r="Z149" s="24" t="s">
        <v>669</v>
      </c>
      <c r="AA149" s="1" t="s">
        <v>672</v>
      </c>
      <c r="AB149" s="1" t="s">
        <v>673</v>
      </c>
      <c r="AC149" s="5"/>
      <c r="AD149" s="5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1:52" x14ac:dyDescent="0.3">
      <c r="A150" s="6">
        <v>149</v>
      </c>
      <c r="B150" s="7">
        <v>46177.435196759259</v>
      </c>
      <c r="C150" s="7">
        <v>46177.439432870371</v>
      </c>
      <c r="D150" s="8" t="s">
        <v>357</v>
      </c>
      <c r="E150" s="8" t="s">
        <v>358</v>
      </c>
      <c r="F150" s="7"/>
      <c r="G150" s="9">
        <v>2400031035</v>
      </c>
      <c r="H150" s="8" t="s">
        <v>359</v>
      </c>
      <c r="I150" s="8" t="s">
        <v>12</v>
      </c>
      <c r="J150" s="8" t="s">
        <v>13</v>
      </c>
      <c r="K150" s="8" t="s">
        <v>15</v>
      </c>
      <c r="L150" s="8" t="s">
        <v>14</v>
      </c>
      <c r="M150" s="10">
        <v>8.11</v>
      </c>
      <c r="N150" s="8" t="s">
        <v>628</v>
      </c>
      <c r="O150" s="11">
        <v>0</v>
      </c>
      <c r="P150" s="21">
        <v>0</v>
      </c>
      <c r="Q150" s="5" t="s">
        <v>616</v>
      </c>
      <c r="R150" s="13" t="s">
        <v>656</v>
      </c>
      <c r="S150" s="5" t="str">
        <f>VLOOKUP(G150,[1]fc!$B$2:$D$707,3,0)</f>
        <v>24CS2227F</v>
      </c>
      <c r="T150" s="5" t="str">
        <f>VLOOKUP(G150,[1]fc!$B$2:$F$707,5,0)</f>
        <v>DATA ANALYTICS AND VISUALIZATION</v>
      </c>
      <c r="U150" s="14" t="s">
        <v>664</v>
      </c>
      <c r="V150" s="15" t="s">
        <v>665</v>
      </c>
      <c r="W150" s="15" t="s">
        <v>666</v>
      </c>
      <c r="X150" s="15" t="s">
        <v>667</v>
      </c>
      <c r="Y150" s="15" t="s">
        <v>668</v>
      </c>
      <c r="Z150" s="24" t="s">
        <v>669</v>
      </c>
      <c r="AA150" s="1" t="s">
        <v>672</v>
      </c>
      <c r="AB150" s="1" t="s">
        <v>673</v>
      </c>
      <c r="AC150" s="5"/>
      <c r="AD150" s="5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 spans="1:52" x14ac:dyDescent="0.3">
      <c r="A151" s="16">
        <v>150</v>
      </c>
      <c r="B151" s="17">
        <v>46177.472268518519</v>
      </c>
      <c r="C151" s="17">
        <v>46177.473113425927</v>
      </c>
      <c r="D151" s="18" t="s">
        <v>390</v>
      </c>
      <c r="E151" s="18" t="s">
        <v>391</v>
      </c>
      <c r="F151" s="17"/>
      <c r="G151" s="19">
        <v>2400032513</v>
      </c>
      <c r="H151" s="18" t="s">
        <v>392</v>
      </c>
      <c r="I151" s="18" t="s">
        <v>12</v>
      </c>
      <c r="J151" s="18" t="s">
        <v>13</v>
      </c>
      <c r="K151" s="18" t="s">
        <v>15</v>
      </c>
      <c r="L151" s="18" t="s">
        <v>14</v>
      </c>
      <c r="M151" s="20">
        <v>9.01</v>
      </c>
      <c r="N151" s="18" t="s">
        <v>628</v>
      </c>
      <c r="O151" s="11">
        <v>0</v>
      </c>
      <c r="P151" s="21">
        <v>0</v>
      </c>
      <c r="Q151" s="5" t="s">
        <v>622</v>
      </c>
      <c r="R151" s="13" t="s">
        <v>656</v>
      </c>
      <c r="S151" s="5" t="str">
        <f>VLOOKUP(G151,[1]fc!$B$2:$D$707,3,0)</f>
        <v>24CS2239F</v>
      </c>
      <c r="T151" s="5" t="str">
        <f>VLOOKUP(G151,[1]fc!$B$2:$F$707,5,0)</f>
        <v>SOFTWARE VERIFICATION AND VALIDATION</v>
      </c>
      <c r="U151" s="1" t="s">
        <v>664</v>
      </c>
      <c r="V151" s="1" t="s">
        <v>665</v>
      </c>
      <c r="W151" s="1" t="s">
        <v>666</v>
      </c>
      <c r="X151" s="1" t="s">
        <v>667</v>
      </c>
      <c r="Y151" s="1" t="s">
        <v>668</v>
      </c>
      <c r="Z151" s="25" t="s">
        <v>669</v>
      </c>
      <c r="AA151" s="5"/>
      <c r="AB151" s="5"/>
      <c r="AC151" s="5"/>
      <c r="AD151" s="5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 spans="1:52" x14ac:dyDescent="0.3">
      <c r="A152" s="6">
        <v>151</v>
      </c>
      <c r="B152" s="7">
        <v>46177.578310185185</v>
      </c>
      <c r="C152" s="7">
        <v>46177.578657407408</v>
      </c>
      <c r="D152" s="8" t="s">
        <v>447</v>
      </c>
      <c r="E152" s="8" t="s">
        <v>448</v>
      </c>
      <c r="F152" s="7"/>
      <c r="G152" s="9">
        <v>2400032118</v>
      </c>
      <c r="H152" s="8" t="s">
        <v>449</v>
      </c>
      <c r="I152" s="8" t="s">
        <v>12</v>
      </c>
      <c r="J152" s="8" t="s">
        <v>13</v>
      </c>
      <c r="K152" s="8" t="s">
        <v>15</v>
      </c>
      <c r="L152" s="8" t="s">
        <v>14</v>
      </c>
      <c r="M152" s="10">
        <v>8.1999999999999993</v>
      </c>
      <c r="N152" s="8" t="s">
        <v>628</v>
      </c>
      <c r="O152" s="11">
        <v>0</v>
      </c>
      <c r="P152" s="21">
        <v>0</v>
      </c>
      <c r="Q152" s="5" t="s">
        <v>613</v>
      </c>
      <c r="R152" s="13" t="s">
        <v>656</v>
      </c>
      <c r="S152" s="5" t="str">
        <f>VLOOKUP(G152,[1]fc!$B$2:$D$707,3,0)</f>
        <v>24CS2237F</v>
      </c>
      <c r="T152" s="5" t="str">
        <f>VLOOKUP(G152,[1]fc!$B$2:$F$707,5,0)</f>
        <v>QUANTUM COMPUTING</v>
      </c>
      <c r="U152" s="14" t="s">
        <v>664</v>
      </c>
      <c r="V152" s="15" t="s">
        <v>665</v>
      </c>
      <c r="W152" s="15" t="s">
        <v>666</v>
      </c>
      <c r="X152" s="15" t="s">
        <v>667</v>
      </c>
      <c r="Y152" s="15" t="s">
        <v>668</v>
      </c>
      <c r="Z152" s="24" t="s">
        <v>669</v>
      </c>
      <c r="AA152" s="1" t="s">
        <v>672</v>
      </c>
      <c r="AB152" s="1" t="s">
        <v>673</v>
      </c>
      <c r="AC152" s="5"/>
      <c r="AD152" s="5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</row>
    <row r="153" spans="1:52" x14ac:dyDescent="0.3">
      <c r="A153" s="16">
        <v>152</v>
      </c>
      <c r="B153" s="7">
        <v>46177.588217592594</v>
      </c>
      <c r="C153" s="7">
        <v>46177.58902777778</v>
      </c>
      <c r="D153" s="8" t="s">
        <v>456</v>
      </c>
      <c r="E153" s="8" t="s">
        <v>457</v>
      </c>
      <c r="F153" s="7"/>
      <c r="G153" s="9">
        <v>2400032310</v>
      </c>
      <c r="H153" s="8" t="s">
        <v>458</v>
      </c>
      <c r="I153" s="8" t="s">
        <v>12</v>
      </c>
      <c r="J153" s="8" t="s">
        <v>13</v>
      </c>
      <c r="K153" s="8" t="s">
        <v>16</v>
      </c>
      <c r="L153" s="8" t="s">
        <v>14</v>
      </c>
      <c r="M153" s="10">
        <v>8.02</v>
      </c>
      <c r="N153" s="8" t="s">
        <v>628</v>
      </c>
      <c r="O153" s="11">
        <v>0</v>
      </c>
      <c r="P153" s="21">
        <v>0</v>
      </c>
      <c r="Q153" s="5" t="s">
        <v>619</v>
      </c>
      <c r="R153" s="13" t="s">
        <v>656</v>
      </c>
      <c r="S153" s="5" t="str">
        <f>VLOOKUP(G153,[1]fc!$B$2:$D$707,3,0)</f>
        <v>24CS2255F</v>
      </c>
      <c r="T153" s="5" t="str">
        <f>VLOOKUP(G153,[1]fc!$B$2:$F$707,5,0)</f>
        <v>ADVANCED DATA STRUCTURES</v>
      </c>
      <c r="U153" s="14" t="s">
        <v>664</v>
      </c>
      <c r="V153" s="15" t="s">
        <v>665</v>
      </c>
      <c r="W153" s="15" t="s">
        <v>666</v>
      </c>
      <c r="X153" s="15" t="s">
        <v>667</v>
      </c>
      <c r="Y153" s="15" t="s">
        <v>668</v>
      </c>
      <c r="Z153" s="24" t="s">
        <v>669</v>
      </c>
      <c r="AA153" s="1" t="s">
        <v>672</v>
      </c>
      <c r="AB153" s="1" t="s">
        <v>673</v>
      </c>
      <c r="AC153" s="5"/>
      <c r="AD153" s="5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 spans="1:52" x14ac:dyDescent="0.3">
      <c r="A154" s="6">
        <v>153</v>
      </c>
      <c r="B154" s="7">
        <v>46177.657870370371</v>
      </c>
      <c r="C154" s="7">
        <v>46177.658807870372</v>
      </c>
      <c r="D154" s="8" t="s">
        <v>501</v>
      </c>
      <c r="E154" s="8" t="s">
        <v>502</v>
      </c>
      <c r="F154" s="7"/>
      <c r="G154" s="9">
        <v>2400031287</v>
      </c>
      <c r="H154" s="8" t="s">
        <v>503</v>
      </c>
      <c r="I154" s="8" t="s">
        <v>12</v>
      </c>
      <c r="J154" s="8" t="s">
        <v>21</v>
      </c>
      <c r="K154" s="8" t="s">
        <v>15</v>
      </c>
      <c r="L154" s="8" t="s">
        <v>14</v>
      </c>
      <c r="M154" s="10">
        <v>8.35</v>
      </c>
      <c r="N154" s="8" t="s">
        <v>628</v>
      </c>
      <c r="O154" s="11">
        <v>0</v>
      </c>
      <c r="P154" s="21">
        <v>0</v>
      </c>
      <c r="Q154" s="5" t="s">
        <v>622</v>
      </c>
      <c r="R154" s="13" t="s">
        <v>656</v>
      </c>
      <c r="S154" s="5" t="str">
        <f>VLOOKUP(G154,[1]fc!$B$2:$D$707,3,0)</f>
        <v>24CS2264F</v>
      </c>
      <c r="T154" s="5" t="str">
        <f>VLOOKUP(G154,[1]fc!$B$2:$F$707,5,0)</f>
        <v>GAME SYSTEMS DESIGN AND DEVELOPMENT</v>
      </c>
      <c r="U154" s="1" t="s">
        <v>664</v>
      </c>
      <c r="V154" s="1" t="s">
        <v>665</v>
      </c>
      <c r="W154" s="1" t="s">
        <v>666</v>
      </c>
      <c r="X154" s="1" t="s">
        <v>667</v>
      </c>
      <c r="Y154" s="1" t="s">
        <v>668</v>
      </c>
      <c r="Z154" s="25" t="s">
        <v>669</v>
      </c>
      <c r="AA154" s="5"/>
      <c r="AB154" s="5"/>
      <c r="AC154" s="5"/>
      <c r="AD154" s="5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 spans="1:52" x14ac:dyDescent="0.3">
      <c r="A155" s="16">
        <v>154</v>
      </c>
      <c r="B155" s="7">
        <v>46177.696655092594</v>
      </c>
      <c r="C155" s="7">
        <v>46177.698101851849</v>
      </c>
      <c r="D155" s="8" t="s">
        <v>516</v>
      </c>
      <c r="E155" s="8" t="s">
        <v>517</v>
      </c>
      <c r="F155" s="7"/>
      <c r="G155" s="9">
        <v>2400032117</v>
      </c>
      <c r="H155" s="8" t="s">
        <v>518</v>
      </c>
      <c r="I155" s="8" t="s">
        <v>12</v>
      </c>
      <c r="J155" s="8" t="s">
        <v>13</v>
      </c>
      <c r="K155" s="8" t="s">
        <v>16</v>
      </c>
      <c r="L155" s="8" t="s">
        <v>14</v>
      </c>
      <c r="M155" s="10">
        <v>8.26</v>
      </c>
      <c r="N155" s="8" t="s">
        <v>628</v>
      </c>
      <c r="O155" s="11">
        <v>0</v>
      </c>
      <c r="P155" s="21">
        <v>0</v>
      </c>
      <c r="Q155" s="5" t="s">
        <v>617</v>
      </c>
      <c r="R155" s="13" t="s">
        <v>656</v>
      </c>
      <c r="S155" s="5" t="str">
        <f>VLOOKUP(G155,[1]fc!$B$2:$D$707,3,0)</f>
        <v>24CS2224F</v>
      </c>
      <c r="T155" s="5" t="str">
        <f>VLOOKUP(G155,[1]fc!$B$2:$F$707,5,0)</f>
        <v>CRYPT ANALYSIS AND CYBER DEFENCE</v>
      </c>
      <c r="U155" s="1" t="s">
        <v>664</v>
      </c>
      <c r="V155" s="1" t="s">
        <v>665</v>
      </c>
      <c r="W155" s="1" t="s">
        <v>666</v>
      </c>
      <c r="X155" s="1" t="s">
        <v>667</v>
      </c>
      <c r="Y155" s="14" t="s">
        <v>672</v>
      </c>
      <c r="Z155" s="24" t="s">
        <v>673</v>
      </c>
      <c r="AA155" s="1" t="s">
        <v>675</v>
      </c>
      <c r="AB155" s="1" t="s">
        <v>676</v>
      </c>
      <c r="AC155" s="5"/>
      <c r="AD155" s="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</row>
    <row r="156" spans="1:52" x14ac:dyDescent="0.3">
      <c r="A156" s="6">
        <v>155</v>
      </c>
      <c r="B156" s="7">
        <v>46177.846145833333</v>
      </c>
      <c r="C156" s="7">
        <v>46177.84652777778</v>
      </c>
      <c r="D156" s="8" t="s">
        <v>555</v>
      </c>
      <c r="E156" s="8" t="s">
        <v>556</v>
      </c>
      <c r="F156" s="7"/>
      <c r="G156" s="9">
        <v>2400031922</v>
      </c>
      <c r="H156" s="8" t="s">
        <v>557</v>
      </c>
      <c r="I156" s="8" t="s">
        <v>12</v>
      </c>
      <c r="J156" s="8" t="s">
        <v>13</v>
      </c>
      <c r="K156" s="8" t="s">
        <v>15</v>
      </c>
      <c r="L156" s="8" t="s">
        <v>14</v>
      </c>
      <c r="M156" s="10">
        <v>9.42</v>
      </c>
      <c r="N156" s="8" t="s">
        <v>628</v>
      </c>
      <c r="O156" s="11">
        <v>0</v>
      </c>
      <c r="P156" s="21">
        <v>0</v>
      </c>
      <c r="Q156" s="5" t="s">
        <v>618</v>
      </c>
      <c r="R156" s="13" t="s">
        <v>656</v>
      </c>
      <c r="S156" s="5" t="str">
        <f>VLOOKUP(G156,[1]fc!$B$2:$D$707,3,0)</f>
        <v>24EE2230F</v>
      </c>
      <c r="T156" s="5" t="str">
        <f>VLOOKUP(G156,[1]fc!$B$2:$F$707,5,0)</f>
        <v>ESSENTIALS OF AUTONOMOUS SYSTEMS</v>
      </c>
      <c r="U156" s="14" t="s">
        <v>664</v>
      </c>
      <c r="V156" s="15" t="s">
        <v>665</v>
      </c>
      <c r="W156" s="15" t="s">
        <v>666</v>
      </c>
      <c r="X156" s="15" t="s">
        <v>667</v>
      </c>
      <c r="Y156" s="15" t="s">
        <v>668</v>
      </c>
      <c r="Z156" s="24" t="s">
        <v>669</v>
      </c>
      <c r="AA156" s="1" t="s">
        <v>672</v>
      </c>
      <c r="AB156" s="1" t="s">
        <v>673</v>
      </c>
      <c r="AC156" s="5"/>
      <c r="AD156" s="5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</row>
    <row r="157" spans="1:52" x14ac:dyDescent="0.3">
      <c r="A157" s="16">
        <v>156</v>
      </c>
      <c r="B157" s="7">
        <v>46146.375856481478</v>
      </c>
      <c r="C157" s="7">
        <v>46146.376284722224</v>
      </c>
      <c r="D157" s="8" t="s">
        <v>40</v>
      </c>
      <c r="E157" s="8" t="s">
        <v>41</v>
      </c>
      <c r="F157" s="7"/>
      <c r="G157" s="9">
        <v>2400031633</v>
      </c>
      <c r="H157" s="8" t="s">
        <v>42</v>
      </c>
      <c r="I157" s="8" t="s">
        <v>12</v>
      </c>
      <c r="J157" s="8" t="s">
        <v>13</v>
      </c>
      <c r="K157" s="8" t="s">
        <v>15</v>
      </c>
      <c r="L157" s="8" t="s">
        <v>14</v>
      </c>
      <c r="M157" s="10">
        <v>8.34</v>
      </c>
      <c r="N157" s="8" t="s">
        <v>631</v>
      </c>
      <c r="O157" s="11">
        <v>0</v>
      </c>
      <c r="P157" s="21">
        <v>0</v>
      </c>
      <c r="Q157" s="5" t="s">
        <v>615</v>
      </c>
      <c r="R157" s="13" t="s">
        <v>656</v>
      </c>
      <c r="S157" s="5" t="str">
        <f>VLOOKUP(G157,[1]fc!$B$2:$D$707,3,0)</f>
        <v>24CS2258F</v>
      </c>
      <c r="T157" s="5" t="str">
        <f>VLOOKUP(G157,[1]fc!$B$2:$F$707,5,0)</f>
        <v>NATURAL LANGUAGE PROCESSING</v>
      </c>
      <c r="U157" s="1" t="s">
        <v>664</v>
      </c>
      <c r="V157" s="1" t="s">
        <v>665</v>
      </c>
      <c r="W157" s="1" t="s">
        <v>666</v>
      </c>
      <c r="X157" s="1" t="s">
        <v>667</v>
      </c>
      <c r="Y157" s="14" t="s">
        <v>672</v>
      </c>
      <c r="Z157" s="24" t="s">
        <v>673</v>
      </c>
      <c r="AA157" s="1" t="s">
        <v>675</v>
      </c>
      <c r="AB157" s="1" t="s">
        <v>676</v>
      </c>
      <c r="AC157" s="5"/>
      <c r="AD157" s="5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 spans="1:52" x14ac:dyDescent="0.3">
      <c r="A158" s="6">
        <v>157</v>
      </c>
      <c r="B158" s="17">
        <v>46146.406574074077</v>
      </c>
      <c r="C158" s="17">
        <v>46146.407534722224</v>
      </c>
      <c r="D158" s="18" t="s">
        <v>84</v>
      </c>
      <c r="E158" s="18" t="s">
        <v>85</v>
      </c>
      <c r="F158" s="17"/>
      <c r="G158" s="19">
        <v>2400031140</v>
      </c>
      <c r="H158" s="18" t="s">
        <v>86</v>
      </c>
      <c r="I158" s="18" t="s">
        <v>12</v>
      </c>
      <c r="J158" s="18" t="s">
        <v>13</v>
      </c>
      <c r="K158" s="18" t="s">
        <v>16</v>
      </c>
      <c r="L158" s="18" t="s">
        <v>14</v>
      </c>
      <c r="M158" s="20">
        <v>8.4700000000000006</v>
      </c>
      <c r="N158" s="18" t="s">
        <v>631</v>
      </c>
      <c r="O158" s="11">
        <v>0</v>
      </c>
      <c r="P158" s="21">
        <v>0</v>
      </c>
      <c r="Q158" s="5" t="s">
        <v>615</v>
      </c>
      <c r="R158" s="13" t="s">
        <v>656</v>
      </c>
      <c r="S158" s="5" t="str">
        <f>VLOOKUP(G158,[1]fc!$B$2:$D$707,3,0)</f>
        <v>24CS2256F</v>
      </c>
      <c r="T158" s="5" t="str">
        <f>VLOOKUP(G158,[1]fc!$B$2:$F$707,5,0)</f>
        <v>FOUNDATIONS OF BLOCK CHAIN ENGINEERING</v>
      </c>
      <c r="U158" s="1" t="s">
        <v>664</v>
      </c>
      <c r="V158" s="1" t="s">
        <v>665</v>
      </c>
      <c r="W158" s="1" t="s">
        <v>666</v>
      </c>
      <c r="X158" s="1" t="s">
        <v>667</v>
      </c>
      <c r="Y158" s="14" t="s">
        <v>672</v>
      </c>
      <c r="Z158" s="24" t="s">
        <v>673</v>
      </c>
      <c r="AA158" s="1" t="s">
        <v>675</v>
      </c>
      <c r="AB158" s="1" t="s">
        <v>676</v>
      </c>
      <c r="AC158" s="5"/>
      <c r="AD158" s="5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spans="1:52" x14ac:dyDescent="0.3">
      <c r="A159" s="16">
        <v>158</v>
      </c>
      <c r="B159" s="7">
        <v>46146.468460648146</v>
      </c>
      <c r="C159" s="7">
        <v>46146.474120370367</v>
      </c>
      <c r="D159" s="8" t="s">
        <v>147</v>
      </c>
      <c r="E159" s="8" t="s">
        <v>148</v>
      </c>
      <c r="F159" s="7"/>
      <c r="G159" s="9">
        <v>2400032542</v>
      </c>
      <c r="H159" s="8" t="s">
        <v>149</v>
      </c>
      <c r="I159" s="8" t="s">
        <v>12</v>
      </c>
      <c r="J159" s="8" t="s">
        <v>13</v>
      </c>
      <c r="K159" s="8" t="s">
        <v>16</v>
      </c>
      <c r="L159" s="8" t="s">
        <v>14</v>
      </c>
      <c r="M159" s="10">
        <v>8.5</v>
      </c>
      <c r="N159" s="8" t="s">
        <v>631</v>
      </c>
      <c r="O159" s="11">
        <v>0</v>
      </c>
      <c r="P159" s="21">
        <v>0</v>
      </c>
      <c r="Q159" s="5" t="s">
        <v>615</v>
      </c>
      <c r="R159" s="13" t="s">
        <v>656</v>
      </c>
      <c r="S159" s="5" t="str">
        <f>VLOOKUP(G159,[1]fc!$B$2:$D$707,3,0)</f>
        <v>24CS2255F</v>
      </c>
      <c r="T159" s="5" t="str">
        <f>VLOOKUP(G159,[1]fc!$B$2:$F$707,5,0)</f>
        <v>ADVANCED DATA STRUCTURES</v>
      </c>
      <c r="U159" s="1" t="s">
        <v>664</v>
      </c>
      <c r="V159" s="1" t="s">
        <v>665</v>
      </c>
      <c r="W159" s="1" t="s">
        <v>666</v>
      </c>
      <c r="X159" s="1" t="s">
        <v>667</v>
      </c>
      <c r="Y159" s="14" t="s">
        <v>672</v>
      </c>
      <c r="Z159" s="24" t="s">
        <v>673</v>
      </c>
      <c r="AA159" s="1" t="s">
        <v>675</v>
      </c>
      <c r="AB159" s="1" t="s">
        <v>676</v>
      </c>
      <c r="AC159" s="5"/>
      <c r="AD159" s="5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</row>
    <row r="160" spans="1:52" x14ac:dyDescent="0.3">
      <c r="A160" s="6">
        <v>159</v>
      </c>
      <c r="B160" s="17">
        <v>46177.449259259258</v>
      </c>
      <c r="C160" s="17">
        <v>46177.450914351852</v>
      </c>
      <c r="D160" s="18" t="s">
        <v>375</v>
      </c>
      <c r="E160" s="18" t="s">
        <v>376</v>
      </c>
      <c r="F160" s="17"/>
      <c r="G160" s="19">
        <v>2400032776</v>
      </c>
      <c r="H160" s="18" t="s">
        <v>377</v>
      </c>
      <c r="I160" s="18" t="s">
        <v>12</v>
      </c>
      <c r="J160" s="18" t="s">
        <v>13</v>
      </c>
      <c r="K160" s="18" t="s">
        <v>16</v>
      </c>
      <c r="L160" s="18" t="s">
        <v>14</v>
      </c>
      <c r="M160" s="20">
        <v>8.5500000000000007</v>
      </c>
      <c r="N160" s="18" t="s">
        <v>643</v>
      </c>
      <c r="O160" s="11">
        <v>0</v>
      </c>
      <c r="P160" s="21">
        <v>0</v>
      </c>
      <c r="Q160" s="5" t="s">
        <v>620</v>
      </c>
      <c r="R160" s="13" t="s">
        <v>656</v>
      </c>
      <c r="S160" s="5" t="str">
        <f>VLOOKUP(G160,[1]fc!$B$2:$D$707,3,0)</f>
        <v>24CS2258F</v>
      </c>
      <c r="T160" s="5" t="str">
        <f>VLOOKUP(G160,[1]fc!$B$2:$F$707,5,0)</f>
        <v>NATURAL LANGUAGE PROCESSING</v>
      </c>
      <c r="U160" s="14" t="s">
        <v>664</v>
      </c>
      <c r="V160" s="15" t="s">
        <v>665</v>
      </c>
      <c r="W160" s="15" t="s">
        <v>666</v>
      </c>
      <c r="X160" s="15" t="s">
        <v>667</v>
      </c>
      <c r="Y160" s="15" t="s">
        <v>668</v>
      </c>
      <c r="Z160" s="24" t="s">
        <v>669</v>
      </c>
      <c r="AA160" s="1" t="s">
        <v>672</v>
      </c>
      <c r="AB160" s="1" t="s">
        <v>673</v>
      </c>
      <c r="AC160" s="5"/>
      <c r="AD160" s="5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 spans="1:52" x14ac:dyDescent="0.3">
      <c r="A161" s="16">
        <v>160</v>
      </c>
      <c r="B161" s="7">
        <v>46207.932835648149</v>
      </c>
      <c r="C161" s="7">
        <v>46207.933194444442</v>
      </c>
      <c r="D161" s="8" t="s">
        <v>606</v>
      </c>
      <c r="E161" s="8" t="s">
        <v>607</v>
      </c>
      <c r="F161" s="7"/>
      <c r="G161" s="9">
        <v>2400030514</v>
      </c>
      <c r="H161" s="8" t="s">
        <v>608</v>
      </c>
      <c r="I161" s="8" t="s">
        <v>12</v>
      </c>
      <c r="J161" s="8" t="s">
        <v>13</v>
      </c>
      <c r="K161" s="8" t="s">
        <v>15</v>
      </c>
      <c r="L161" s="8" t="s">
        <v>14</v>
      </c>
      <c r="M161" s="10">
        <v>9.27</v>
      </c>
      <c r="N161" s="8" t="s">
        <v>643</v>
      </c>
      <c r="O161" s="11">
        <v>0</v>
      </c>
      <c r="P161" s="21">
        <v>0</v>
      </c>
      <c r="Q161" s="5" t="s">
        <v>620</v>
      </c>
      <c r="R161" s="13" t="s">
        <v>656</v>
      </c>
      <c r="S161" s="5" t="str">
        <f>VLOOKUP(G161,[1]fc!$B$2:$D$707,3,0)</f>
        <v>24CS2221F</v>
      </c>
      <c r="T161" s="5" t="str">
        <f>VLOOKUP(G161,[1]fc!$B$2:$F$707,5,0)</f>
        <v>UX DESIGN</v>
      </c>
      <c r="U161" s="14" t="s">
        <v>664</v>
      </c>
      <c r="V161" s="15" t="s">
        <v>665</v>
      </c>
      <c r="W161" s="15" t="s">
        <v>666</v>
      </c>
      <c r="X161" s="15" t="s">
        <v>667</v>
      </c>
      <c r="Y161" s="15" t="s">
        <v>668</v>
      </c>
      <c r="Z161" s="24" t="s">
        <v>669</v>
      </c>
      <c r="AA161" s="1" t="s">
        <v>672</v>
      </c>
      <c r="AB161" s="1" t="s">
        <v>673</v>
      </c>
      <c r="AC161" s="5"/>
      <c r="AD161" s="5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 spans="1:52" x14ac:dyDescent="0.3">
      <c r="A162" s="6">
        <v>161</v>
      </c>
      <c r="B162" s="7">
        <v>46146.969108796293</v>
      </c>
      <c r="C162" s="7">
        <v>46146.969699074078</v>
      </c>
      <c r="D162" s="8" t="s">
        <v>291</v>
      </c>
      <c r="E162" s="8" t="s">
        <v>292</v>
      </c>
      <c r="F162" s="7"/>
      <c r="G162" s="9">
        <v>2400030863</v>
      </c>
      <c r="H162" s="8" t="s">
        <v>293</v>
      </c>
      <c r="I162" s="8" t="s">
        <v>12</v>
      </c>
      <c r="J162" s="8" t="s">
        <v>13</v>
      </c>
      <c r="K162" s="8" t="s">
        <v>15</v>
      </c>
      <c r="L162" s="8" t="s">
        <v>14</v>
      </c>
      <c r="M162" s="10">
        <v>8.6</v>
      </c>
      <c r="N162" s="8" t="s">
        <v>631</v>
      </c>
      <c r="O162" s="11">
        <v>0</v>
      </c>
      <c r="P162" s="21">
        <v>0</v>
      </c>
      <c r="Q162" s="5" t="s">
        <v>616</v>
      </c>
      <c r="R162" s="13" t="s">
        <v>656</v>
      </c>
      <c r="S162" s="5" t="str">
        <f>VLOOKUP(G162,[1]fc!$B$2:$D$707,3,0)</f>
        <v>24CS2255F</v>
      </c>
      <c r="T162" s="5" t="str">
        <f>VLOOKUP(G162,[1]fc!$B$2:$F$707,5,0)</f>
        <v>ADVANCED DATA STRUCTURES</v>
      </c>
      <c r="U162" s="14" t="s">
        <v>664</v>
      </c>
      <c r="V162" s="15" t="s">
        <v>665</v>
      </c>
      <c r="W162" s="15" t="s">
        <v>666</v>
      </c>
      <c r="X162" s="15" t="s">
        <v>667</v>
      </c>
      <c r="Y162" s="15" t="s">
        <v>668</v>
      </c>
      <c r="Z162" s="24" t="s">
        <v>669</v>
      </c>
      <c r="AA162" s="1" t="s">
        <v>672</v>
      </c>
      <c r="AB162" s="1" t="s">
        <v>673</v>
      </c>
      <c r="AC162" s="5"/>
      <c r="AD162" s="5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 spans="1:52" x14ac:dyDescent="0.3">
      <c r="A163" s="16">
        <v>162</v>
      </c>
      <c r="B163" s="17">
        <v>46177.008194444446</v>
      </c>
      <c r="C163" s="17">
        <v>46177.00885416667</v>
      </c>
      <c r="D163" s="18" t="s">
        <v>315</v>
      </c>
      <c r="E163" s="18" t="s">
        <v>316</v>
      </c>
      <c r="F163" s="17"/>
      <c r="G163" s="19">
        <v>2400031885</v>
      </c>
      <c r="H163" s="18" t="s">
        <v>317</v>
      </c>
      <c r="I163" s="18" t="s">
        <v>12</v>
      </c>
      <c r="J163" s="18" t="s">
        <v>13</v>
      </c>
      <c r="K163" s="18" t="s">
        <v>16</v>
      </c>
      <c r="L163" s="18" t="s">
        <v>14</v>
      </c>
      <c r="M163" s="20">
        <v>8.6999999999999993</v>
      </c>
      <c r="N163" s="18" t="s">
        <v>631</v>
      </c>
      <c r="O163" s="11">
        <v>0</v>
      </c>
      <c r="P163" s="21">
        <v>0</v>
      </c>
      <c r="Q163" s="5" t="s">
        <v>622</v>
      </c>
      <c r="R163" s="13" t="s">
        <v>656</v>
      </c>
      <c r="S163" s="5" t="str">
        <f>VLOOKUP(G163,[1]fc!$B$2:$D$707,3,0)</f>
        <v>24CS2255F</v>
      </c>
      <c r="T163" s="5" t="str">
        <f>VLOOKUP(G163,[1]fc!$B$2:$F$707,5,0)</f>
        <v>ADVANCED DATA STRUCTURES</v>
      </c>
      <c r="U163" s="1" t="s">
        <v>664</v>
      </c>
      <c r="V163" s="1" t="s">
        <v>665</v>
      </c>
      <c r="W163" s="1" t="s">
        <v>666</v>
      </c>
      <c r="X163" s="1" t="s">
        <v>667</v>
      </c>
      <c r="Y163" s="1" t="s">
        <v>668</v>
      </c>
      <c r="Z163" s="25" t="s">
        <v>669</v>
      </c>
      <c r="AA163" s="5"/>
      <c r="AB163" s="5"/>
      <c r="AC163" s="5"/>
      <c r="AD163" s="5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 spans="1:52" x14ac:dyDescent="0.3">
      <c r="A164" s="6">
        <v>163</v>
      </c>
      <c r="B164" s="17">
        <v>46177.257835648146</v>
      </c>
      <c r="C164" s="17">
        <v>46177.258726851855</v>
      </c>
      <c r="D164" s="18" t="s">
        <v>327</v>
      </c>
      <c r="E164" s="18" t="s">
        <v>328</v>
      </c>
      <c r="F164" s="17"/>
      <c r="G164" s="19">
        <v>2400032455</v>
      </c>
      <c r="H164" s="18" t="s">
        <v>329</v>
      </c>
      <c r="I164" s="18" t="s">
        <v>12</v>
      </c>
      <c r="J164" s="18" t="s">
        <v>13</v>
      </c>
      <c r="K164" s="18" t="s">
        <v>16</v>
      </c>
      <c r="L164" s="18" t="s">
        <v>14</v>
      </c>
      <c r="M164" s="20">
        <v>8.4700000000000006</v>
      </c>
      <c r="N164" s="18" t="s">
        <v>631</v>
      </c>
      <c r="O164" s="11">
        <v>0</v>
      </c>
      <c r="P164" s="21">
        <v>0</v>
      </c>
      <c r="Q164" s="5" t="s">
        <v>617</v>
      </c>
      <c r="R164" s="13" t="s">
        <v>656</v>
      </c>
      <c r="S164" s="5" t="str">
        <f>VLOOKUP(G164,[1]fc!$B$2:$D$707,3,0)</f>
        <v>24CS2224F</v>
      </c>
      <c r="T164" s="5" t="str">
        <f>VLOOKUP(G164,[1]fc!$B$2:$F$707,5,0)</f>
        <v>CRYPT ANALYSIS AND CYBER DEFENCE</v>
      </c>
      <c r="U164" s="1" t="s">
        <v>664</v>
      </c>
      <c r="V164" s="1" t="s">
        <v>665</v>
      </c>
      <c r="W164" s="1" t="s">
        <v>666</v>
      </c>
      <c r="X164" s="1" t="s">
        <v>667</v>
      </c>
      <c r="Y164" s="14" t="s">
        <v>672</v>
      </c>
      <c r="Z164" s="24" t="s">
        <v>673</v>
      </c>
      <c r="AA164" s="1" t="s">
        <v>675</v>
      </c>
      <c r="AB164" s="1" t="s">
        <v>676</v>
      </c>
      <c r="AC164" s="5"/>
      <c r="AD164" s="5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 spans="1:52" x14ac:dyDescent="0.3">
      <c r="A165" s="16">
        <v>164</v>
      </c>
      <c r="B165" s="7">
        <v>46177.461597222224</v>
      </c>
      <c r="C165" s="7">
        <v>46177.462881944448</v>
      </c>
      <c r="D165" s="8" t="s">
        <v>384</v>
      </c>
      <c r="E165" s="8" t="s">
        <v>385</v>
      </c>
      <c r="F165" s="7"/>
      <c r="G165" s="9">
        <v>2400031149</v>
      </c>
      <c r="H165" s="8" t="s">
        <v>386</v>
      </c>
      <c r="I165" s="8" t="s">
        <v>12</v>
      </c>
      <c r="J165" s="8" t="s">
        <v>13</v>
      </c>
      <c r="K165" s="8" t="s">
        <v>16</v>
      </c>
      <c r="L165" s="8" t="s">
        <v>14</v>
      </c>
      <c r="M165" s="10">
        <v>8.39</v>
      </c>
      <c r="N165" s="8" t="s">
        <v>631</v>
      </c>
      <c r="O165" s="11">
        <v>0</v>
      </c>
      <c r="P165" s="12">
        <v>0</v>
      </c>
      <c r="Q165" s="5" t="s">
        <v>616</v>
      </c>
      <c r="R165" s="13" t="s">
        <v>656</v>
      </c>
      <c r="S165" s="5" t="str">
        <f>VLOOKUP(G165,[1]fc!$B$2:$D$707,3,0)</f>
        <v>24CS2227F</v>
      </c>
      <c r="T165" s="5" t="str">
        <f>VLOOKUP(G165,[1]fc!$B$2:$F$707,5,0)</f>
        <v>DATA ANALYTICS AND VISUALIZATION</v>
      </c>
      <c r="U165" s="14" t="s">
        <v>664</v>
      </c>
      <c r="V165" s="15" t="s">
        <v>665</v>
      </c>
      <c r="W165" s="15" t="s">
        <v>666</v>
      </c>
      <c r="X165" s="15" t="s">
        <v>667</v>
      </c>
      <c r="Y165" s="15" t="s">
        <v>668</v>
      </c>
      <c r="Z165" s="24" t="s">
        <v>669</v>
      </c>
      <c r="AA165" s="1" t="s">
        <v>672</v>
      </c>
      <c r="AB165" s="1" t="s">
        <v>673</v>
      </c>
      <c r="AC165" s="5"/>
      <c r="AD165" s="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</row>
    <row r="166" spans="1:52" x14ac:dyDescent="0.3">
      <c r="A166" s="6">
        <v>165</v>
      </c>
      <c r="B166" s="7">
        <v>46177.598576388889</v>
      </c>
      <c r="C166" s="7">
        <v>46177.598796296297</v>
      </c>
      <c r="D166" s="8" t="s">
        <v>465</v>
      </c>
      <c r="E166" s="8" t="s">
        <v>466</v>
      </c>
      <c r="F166" s="7"/>
      <c r="G166" s="9">
        <v>2400032472</v>
      </c>
      <c r="H166" s="8" t="s">
        <v>467</v>
      </c>
      <c r="I166" s="8" t="s">
        <v>12</v>
      </c>
      <c r="J166" s="8" t="s">
        <v>13</v>
      </c>
      <c r="K166" s="8" t="s">
        <v>15</v>
      </c>
      <c r="L166" s="8" t="s">
        <v>14</v>
      </c>
      <c r="M166" s="10">
        <v>8.69</v>
      </c>
      <c r="N166" s="8" t="s">
        <v>631</v>
      </c>
      <c r="O166" s="11">
        <v>0</v>
      </c>
      <c r="P166" s="21">
        <v>0</v>
      </c>
      <c r="Q166" s="5" t="s">
        <v>622</v>
      </c>
      <c r="R166" s="13" t="s">
        <v>656</v>
      </c>
      <c r="S166" s="5" t="str">
        <f>VLOOKUP(G166,[1]fc!$B$2:$D$707,3,0)</f>
        <v>24CS2256F</v>
      </c>
      <c r="T166" s="5" t="str">
        <f>VLOOKUP(G166,[1]fc!$B$2:$F$707,5,0)</f>
        <v>FOUNDATIONS OF BLOCK CHAIN ENGINEERING</v>
      </c>
      <c r="U166" s="1" t="s">
        <v>664</v>
      </c>
      <c r="V166" s="1" t="s">
        <v>665</v>
      </c>
      <c r="W166" s="1" t="s">
        <v>666</v>
      </c>
      <c r="X166" s="1" t="s">
        <v>667</v>
      </c>
      <c r="Y166" s="1" t="s">
        <v>668</v>
      </c>
      <c r="Z166" s="25" t="s">
        <v>669</v>
      </c>
      <c r="AA166" s="5"/>
      <c r="AB166" s="5"/>
      <c r="AC166" s="5"/>
      <c r="AD166" s="5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 spans="1:52" x14ac:dyDescent="0.3">
      <c r="A167" s="16">
        <v>166</v>
      </c>
      <c r="B167" s="7">
        <v>46177.710648148146</v>
      </c>
      <c r="C167" s="7">
        <v>46177.712175925924</v>
      </c>
      <c r="D167" s="8" t="s">
        <v>522</v>
      </c>
      <c r="E167" s="8" t="s">
        <v>523</v>
      </c>
      <c r="F167" s="7"/>
      <c r="G167" s="9">
        <v>2400032916</v>
      </c>
      <c r="H167" s="8" t="s">
        <v>524</v>
      </c>
      <c r="I167" s="8" t="s">
        <v>12</v>
      </c>
      <c r="J167" s="8" t="s">
        <v>13</v>
      </c>
      <c r="K167" s="8" t="s">
        <v>16</v>
      </c>
      <c r="L167" s="8" t="s">
        <v>14</v>
      </c>
      <c r="M167" s="10">
        <v>8.23</v>
      </c>
      <c r="N167" s="8" t="s">
        <v>630</v>
      </c>
      <c r="O167" s="11">
        <v>0</v>
      </c>
      <c r="P167" s="12">
        <v>0</v>
      </c>
      <c r="Q167" s="5" t="s">
        <v>620</v>
      </c>
      <c r="R167" s="13" t="s">
        <v>656</v>
      </c>
      <c r="S167" s="5" t="str">
        <f>VLOOKUP(G167,[1]fc!$B$2:$D$707,3,0)</f>
        <v>24CS2255F</v>
      </c>
      <c r="T167" s="5" t="str">
        <f>VLOOKUP(G167,[1]fc!$B$2:$F$707,5,0)</f>
        <v>ADVANCED DATA STRUCTURES</v>
      </c>
      <c r="U167" s="14" t="s">
        <v>664</v>
      </c>
      <c r="V167" s="15" t="s">
        <v>665</v>
      </c>
      <c r="W167" s="15" t="s">
        <v>666</v>
      </c>
      <c r="X167" s="15" t="s">
        <v>667</v>
      </c>
      <c r="Y167" s="15" t="s">
        <v>668</v>
      </c>
      <c r="Z167" s="24" t="s">
        <v>669</v>
      </c>
      <c r="AA167" s="1" t="s">
        <v>672</v>
      </c>
      <c r="AB167" s="1" t="s">
        <v>673</v>
      </c>
      <c r="AC167" s="5"/>
      <c r="AD167" s="5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</row>
    <row r="168" spans="1:52" x14ac:dyDescent="0.3">
      <c r="A168" s="6">
        <v>167</v>
      </c>
      <c r="B168" s="17">
        <v>46146.390868055554</v>
      </c>
      <c r="C168" s="17">
        <v>46146.391099537039</v>
      </c>
      <c r="D168" s="18" t="s">
        <v>66</v>
      </c>
      <c r="E168" s="18" t="s">
        <v>67</v>
      </c>
      <c r="F168" s="17"/>
      <c r="G168" s="19">
        <v>2400030877</v>
      </c>
      <c r="H168" s="18" t="s">
        <v>68</v>
      </c>
      <c r="I168" s="18" t="s">
        <v>12</v>
      </c>
      <c r="J168" s="18" t="s">
        <v>13</v>
      </c>
      <c r="K168" s="18" t="s">
        <v>15</v>
      </c>
      <c r="L168" s="18" t="s">
        <v>14</v>
      </c>
      <c r="M168" s="20">
        <v>8.58</v>
      </c>
      <c r="N168" s="18" t="s">
        <v>638</v>
      </c>
      <c r="O168" s="11">
        <v>0</v>
      </c>
      <c r="P168" s="12">
        <v>0</v>
      </c>
      <c r="Q168" s="5" t="s">
        <v>616</v>
      </c>
      <c r="R168" s="13" t="s">
        <v>656</v>
      </c>
      <c r="S168" s="5" t="str">
        <f>VLOOKUP(G168,[1]fc!$B$2:$D$707,3,0)</f>
        <v>24CS2255F</v>
      </c>
      <c r="T168" s="5" t="str">
        <f>VLOOKUP(G168,[1]fc!$B$2:$F$707,5,0)</f>
        <v>ADVANCED DATA STRUCTURES</v>
      </c>
      <c r="U168" s="14" t="s">
        <v>664</v>
      </c>
      <c r="V168" s="15" t="s">
        <v>665</v>
      </c>
      <c r="W168" s="15" t="s">
        <v>666</v>
      </c>
      <c r="X168" s="15" t="s">
        <v>667</v>
      </c>
      <c r="Y168" s="15" t="s">
        <v>668</v>
      </c>
      <c r="Z168" s="24" t="s">
        <v>669</v>
      </c>
      <c r="AA168" s="1" t="s">
        <v>672</v>
      </c>
      <c r="AB168" s="1" t="s">
        <v>673</v>
      </c>
      <c r="AC168" s="5"/>
      <c r="AD168" s="5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 spans="1:52" x14ac:dyDescent="0.3">
      <c r="A169" s="16">
        <v>168</v>
      </c>
      <c r="B169" s="7">
        <v>46146.412268518521</v>
      </c>
      <c r="C169" s="7">
        <v>46146.413449074076</v>
      </c>
      <c r="D169" s="8" t="s">
        <v>93</v>
      </c>
      <c r="E169" s="8" t="s">
        <v>94</v>
      </c>
      <c r="F169" s="7"/>
      <c r="G169" s="9">
        <v>2400030813</v>
      </c>
      <c r="H169" s="8" t="s">
        <v>95</v>
      </c>
      <c r="I169" s="8" t="s">
        <v>12</v>
      </c>
      <c r="J169" s="8" t="s">
        <v>13</v>
      </c>
      <c r="K169" s="8" t="s">
        <v>15</v>
      </c>
      <c r="L169" s="8" t="s">
        <v>14</v>
      </c>
      <c r="M169" s="10">
        <v>9.02</v>
      </c>
      <c r="N169" s="8" t="s">
        <v>638</v>
      </c>
      <c r="O169" s="11">
        <v>0</v>
      </c>
      <c r="P169" s="21">
        <v>0</v>
      </c>
      <c r="Q169" s="5" t="s">
        <v>616</v>
      </c>
      <c r="R169" s="13" t="s">
        <v>656</v>
      </c>
      <c r="S169" s="5" t="str">
        <f>VLOOKUP(G169,[1]fc!$B$2:$D$707,3,0)</f>
        <v>24CS2255F</v>
      </c>
      <c r="T169" s="5" t="str">
        <f>VLOOKUP(G169,[1]fc!$B$2:$F$707,5,0)</f>
        <v>ADVANCED DATA STRUCTURES</v>
      </c>
      <c r="U169" s="14" t="s">
        <v>664</v>
      </c>
      <c r="V169" s="15" t="s">
        <v>665</v>
      </c>
      <c r="W169" s="15" t="s">
        <v>666</v>
      </c>
      <c r="X169" s="15" t="s">
        <v>667</v>
      </c>
      <c r="Y169" s="15" t="s">
        <v>668</v>
      </c>
      <c r="Z169" s="24" t="s">
        <v>669</v>
      </c>
      <c r="AA169" s="1" t="s">
        <v>672</v>
      </c>
      <c r="AB169" s="1" t="s">
        <v>673</v>
      </c>
      <c r="AC169" s="5"/>
      <c r="AD169" s="5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 spans="1:52" x14ac:dyDescent="0.3">
      <c r="A170" s="6">
        <v>169</v>
      </c>
      <c r="B170" s="17">
        <v>46146.517581018517</v>
      </c>
      <c r="C170" s="17">
        <v>46146.517962962964</v>
      </c>
      <c r="D170" s="18" t="s">
        <v>171</v>
      </c>
      <c r="E170" s="18" t="s">
        <v>172</v>
      </c>
      <c r="F170" s="17"/>
      <c r="G170" s="19">
        <v>2400030976</v>
      </c>
      <c r="H170" s="18" t="s">
        <v>173</v>
      </c>
      <c r="I170" s="18" t="s">
        <v>12</v>
      </c>
      <c r="J170" s="18" t="s">
        <v>13</v>
      </c>
      <c r="K170" s="18" t="s">
        <v>15</v>
      </c>
      <c r="L170" s="18" t="s">
        <v>14</v>
      </c>
      <c r="M170" s="20">
        <v>8.11</v>
      </c>
      <c r="N170" s="18" t="s">
        <v>638</v>
      </c>
      <c r="O170" s="11">
        <v>0</v>
      </c>
      <c r="P170" s="21">
        <v>0</v>
      </c>
      <c r="Q170" s="5" t="s">
        <v>623</v>
      </c>
      <c r="R170" s="13" t="s">
        <v>656</v>
      </c>
      <c r="S170" s="5" t="str">
        <f>VLOOKUP(G170,[1]fc!$B$2:$D$707,3,0)</f>
        <v>24CS2227F</v>
      </c>
      <c r="T170" s="5" t="str">
        <f>VLOOKUP(G170,[1]fc!$B$2:$F$707,5,0)</f>
        <v>DATA ANALYTICS AND VISUALIZATION</v>
      </c>
      <c r="AA170" s="5"/>
      <c r="AB170" s="5"/>
      <c r="AC170" s="5"/>
      <c r="AD170" s="5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 spans="1:52" x14ac:dyDescent="0.3">
      <c r="A171" s="16">
        <v>170</v>
      </c>
      <c r="B171" s="17">
        <v>46146.399988425925</v>
      </c>
      <c r="C171" s="17">
        <v>46146.400312500002</v>
      </c>
      <c r="D171" s="18" t="s">
        <v>72</v>
      </c>
      <c r="E171" s="18" t="s">
        <v>73</v>
      </c>
      <c r="F171" s="17"/>
      <c r="G171" s="19">
        <v>2400033103</v>
      </c>
      <c r="H171" s="18" t="s">
        <v>74</v>
      </c>
      <c r="I171" s="18" t="s">
        <v>12</v>
      </c>
      <c r="J171" s="18" t="s">
        <v>13</v>
      </c>
      <c r="K171" s="18" t="s">
        <v>15</v>
      </c>
      <c r="L171" s="18" t="s">
        <v>14</v>
      </c>
      <c r="M171" s="20">
        <v>8.57</v>
      </c>
      <c r="N171" s="18" t="s">
        <v>632</v>
      </c>
      <c r="O171" s="11">
        <v>0</v>
      </c>
      <c r="P171" s="21">
        <v>0</v>
      </c>
      <c r="Q171" s="5" t="s">
        <v>620</v>
      </c>
      <c r="R171" s="13" t="s">
        <v>656</v>
      </c>
      <c r="S171" s="5" t="str">
        <f>VLOOKUP(G171,[1]fc!$B$2:$D$707,3,0)</f>
        <v>24CS2227F</v>
      </c>
      <c r="T171" s="5" t="str">
        <f>VLOOKUP(G171,[1]fc!$B$2:$F$707,5,0)</f>
        <v>DATA ANALYTICS AND VISUALIZATION</v>
      </c>
      <c r="U171" s="14" t="s">
        <v>664</v>
      </c>
      <c r="V171" s="15" t="s">
        <v>665</v>
      </c>
      <c r="W171" s="15" t="s">
        <v>666</v>
      </c>
      <c r="X171" s="15" t="s">
        <v>667</v>
      </c>
      <c r="Y171" s="15" t="s">
        <v>668</v>
      </c>
      <c r="Z171" s="24" t="s">
        <v>669</v>
      </c>
      <c r="AA171" s="1" t="s">
        <v>672</v>
      </c>
      <c r="AB171" s="1" t="s">
        <v>673</v>
      </c>
      <c r="AC171" s="5"/>
      <c r="AD171" s="5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 spans="1:52" x14ac:dyDescent="0.3">
      <c r="A172" s="6">
        <v>171</v>
      </c>
      <c r="B172" s="17">
        <v>46146.643506944441</v>
      </c>
      <c r="C172" s="17">
        <v>46146.646064814813</v>
      </c>
      <c r="D172" s="18" t="s">
        <v>210</v>
      </c>
      <c r="E172" s="18" t="s">
        <v>211</v>
      </c>
      <c r="F172" s="17"/>
      <c r="G172" s="19">
        <v>2400032221</v>
      </c>
      <c r="H172" s="18" t="s">
        <v>212</v>
      </c>
      <c r="I172" s="18" t="s">
        <v>12</v>
      </c>
      <c r="J172" s="18" t="s">
        <v>21</v>
      </c>
      <c r="K172" s="18" t="s">
        <v>15</v>
      </c>
      <c r="L172" s="18" t="s">
        <v>14</v>
      </c>
      <c r="M172" s="20">
        <v>8.15</v>
      </c>
      <c r="N172" s="18" t="s">
        <v>638</v>
      </c>
      <c r="O172" s="11">
        <v>0</v>
      </c>
      <c r="P172" s="21">
        <v>0</v>
      </c>
      <c r="Q172" s="5" t="s">
        <v>615</v>
      </c>
      <c r="R172" s="13" t="s">
        <v>656</v>
      </c>
      <c r="S172" s="5" t="str">
        <f>VLOOKUP(G172,[1]fc!$B$2:$D$707,3,0)</f>
        <v>24CS2221F</v>
      </c>
      <c r="T172" s="5" t="str">
        <f>VLOOKUP(G172,[1]fc!$B$2:$F$707,5,0)</f>
        <v>UX DESIGN</v>
      </c>
      <c r="U172" s="1" t="s">
        <v>664</v>
      </c>
      <c r="V172" s="1" t="s">
        <v>665</v>
      </c>
      <c r="W172" s="1" t="s">
        <v>666</v>
      </c>
      <c r="X172" s="1" t="s">
        <v>667</v>
      </c>
      <c r="Y172" s="14" t="s">
        <v>672</v>
      </c>
      <c r="Z172" s="24" t="s">
        <v>673</v>
      </c>
      <c r="AA172" s="1" t="s">
        <v>675</v>
      </c>
      <c r="AB172" s="1" t="s">
        <v>676</v>
      </c>
      <c r="AC172" s="5"/>
      <c r="AD172" s="5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</row>
    <row r="173" spans="1:52" x14ac:dyDescent="0.3">
      <c r="A173" s="16">
        <v>172</v>
      </c>
      <c r="B173" s="7">
        <v>46177.525995370372</v>
      </c>
      <c r="C173" s="7">
        <v>46177.526458333334</v>
      </c>
      <c r="D173" s="8" t="s">
        <v>405</v>
      </c>
      <c r="E173" s="8" t="s">
        <v>406</v>
      </c>
      <c r="F173" s="7"/>
      <c r="G173" s="9">
        <v>2400031926</v>
      </c>
      <c r="H173" s="8" t="s">
        <v>407</v>
      </c>
      <c r="I173" s="8" t="s">
        <v>12</v>
      </c>
      <c r="J173" s="8" t="s">
        <v>21</v>
      </c>
      <c r="K173" s="8" t="s">
        <v>15</v>
      </c>
      <c r="L173" s="8" t="s">
        <v>14</v>
      </c>
      <c r="M173" s="10">
        <v>8.83</v>
      </c>
      <c r="N173" s="8" t="s">
        <v>638</v>
      </c>
      <c r="O173" s="11">
        <v>0</v>
      </c>
      <c r="P173" s="21">
        <v>0</v>
      </c>
      <c r="Q173" s="5" t="s">
        <v>620</v>
      </c>
      <c r="R173" s="13" t="s">
        <v>656</v>
      </c>
      <c r="S173" s="5" t="str">
        <f>VLOOKUP(G173,[1]fc!$B$2:$D$707,3,0)</f>
        <v>24CS2237F</v>
      </c>
      <c r="T173" s="5" t="str">
        <f>VLOOKUP(G173,[1]fc!$B$2:$F$707,5,0)</f>
        <v>QUANTUM COMPUTING</v>
      </c>
      <c r="U173" s="14" t="s">
        <v>664</v>
      </c>
      <c r="V173" s="15" t="s">
        <v>665</v>
      </c>
      <c r="W173" s="15" t="s">
        <v>666</v>
      </c>
      <c r="X173" s="15" t="s">
        <v>667</v>
      </c>
      <c r="Y173" s="15" t="s">
        <v>668</v>
      </c>
      <c r="Z173" s="24" t="s">
        <v>669</v>
      </c>
      <c r="AA173" s="1" t="s">
        <v>672</v>
      </c>
      <c r="AB173" s="1" t="s">
        <v>673</v>
      </c>
      <c r="AC173" s="5"/>
      <c r="AD173" s="5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 spans="1:52" x14ac:dyDescent="0.3">
      <c r="A174" s="6">
        <v>173</v>
      </c>
      <c r="B174" s="7">
        <v>46146.389525462961</v>
      </c>
      <c r="C174" s="7">
        <v>46146.390162037038</v>
      </c>
      <c r="D174" s="8" t="s">
        <v>63</v>
      </c>
      <c r="E174" s="8" t="s">
        <v>64</v>
      </c>
      <c r="F174" s="7"/>
      <c r="G174" s="9">
        <v>2400031250</v>
      </c>
      <c r="H174" s="8" t="s">
        <v>65</v>
      </c>
      <c r="I174" s="8" t="s">
        <v>12</v>
      </c>
      <c r="J174" s="8" t="s">
        <v>13</v>
      </c>
      <c r="K174" s="8" t="s">
        <v>15</v>
      </c>
      <c r="L174" s="8" t="s">
        <v>14</v>
      </c>
      <c r="M174" s="10">
        <v>8.18</v>
      </c>
      <c r="N174" s="8" t="s">
        <v>635</v>
      </c>
      <c r="O174" s="11">
        <v>0</v>
      </c>
      <c r="P174" s="21">
        <v>0</v>
      </c>
      <c r="Q174" s="5" t="s">
        <v>614</v>
      </c>
      <c r="R174" s="13" t="s">
        <v>656</v>
      </c>
      <c r="S174" s="5" t="str">
        <f>VLOOKUP(G174,[1]fc!$B$2:$D$707,3,0)</f>
        <v>24CS2260F</v>
      </c>
      <c r="T174" s="5" t="str">
        <f>VLOOKUP(G174,[1]fc!$B$2:$F$707,5,0)</f>
        <v>FOUNDATIONS OF CLOUD-NATIVE COMPUTING &amp; DEVOPS</v>
      </c>
      <c r="U174" s="14" t="s">
        <v>664</v>
      </c>
      <c r="V174" s="15" t="s">
        <v>665</v>
      </c>
      <c r="W174" s="15" t="s">
        <v>666</v>
      </c>
      <c r="X174" s="15" t="s">
        <v>667</v>
      </c>
      <c r="Y174" s="15" t="s">
        <v>668</v>
      </c>
      <c r="Z174" s="24" t="s">
        <v>669</v>
      </c>
      <c r="AA174" s="1" t="s">
        <v>672</v>
      </c>
      <c r="AB174" s="1" t="s">
        <v>673</v>
      </c>
      <c r="AC174" s="5"/>
      <c r="AD174" s="5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 spans="1:52" x14ac:dyDescent="0.3">
      <c r="A175" s="16">
        <v>174</v>
      </c>
      <c r="B175" s="17">
        <v>46177.469212962962</v>
      </c>
      <c r="C175" s="17">
        <v>46177.469756944447</v>
      </c>
      <c r="D175" s="18" t="s">
        <v>387</v>
      </c>
      <c r="E175" s="18" t="s">
        <v>388</v>
      </c>
      <c r="F175" s="17"/>
      <c r="G175" s="19">
        <v>2400031834</v>
      </c>
      <c r="H175" s="18" t="s">
        <v>389</v>
      </c>
      <c r="I175" s="18" t="s">
        <v>12</v>
      </c>
      <c r="J175" s="18" t="s">
        <v>13</v>
      </c>
      <c r="K175" s="18" t="s">
        <v>16</v>
      </c>
      <c r="L175" s="18" t="s">
        <v>14</v>
      </c>
      <c r="M175" s="20">
        <v>8.86</v>
      </c>
      <c r="N175" s="18" t="s">
        <v>638</v>
      </c>
      <c r="O175" s="11">
        <v>0</v>
      </c>
      <c r="P175" s="21">
        <v>0</v>
      </c>
      <c r="Q175" s="5" t="s">
        <v>625</v>
      </c>
      <c r="R175" s="13" t="s">
        <v>656</v>
      </c>
      <c r="S175" s="5" t="str">
        <f>VLOOKUP(G175,[1]fc!$B$2:$D$707,3,0)</f>
        <v>24CS2256F</v>
      </c>
      <c r="T175" s="5" t="str">
        <f>VLOOKUP(G175,[1]fc!$B$2:$F$707,5,0)</f>
        <v>FOUNDATIONS OF BLOCK CHAIN ENGINEERING</v>
      </c>
      <c r="AA175" s="5"/>
      <c r="AB175" s="5"/>
      <c r="AC175" s="5"/>
      <c r="AD175" s="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</row>
    <row r="176" spans="1:52" x14ac:dyDescent="0.3">
      <c r="A176" s="6">
        <v>175</v>
      </c>
      <c r="B176" s="17">
        <v>46146.452314814815</v>
      </c>
      <c r="C176" s="17">
        <v>46146.453472222223</v>
      </c>
      <c r="D176" s="18" t="s">
        <v>138</v>
      </c>
      <c r="E176" s="18" t="s">
        <v>139</v>
      </c>
      <c r="F176" s="17"/>
      <c r="G176" s="19">
        <v>2400032252</v>
      </c>
      <c r="H176" s="18" t="s">
        <v>140</v>
      </c>
      <c r="I176" s="18" t="s">
        <v>12</v>
      </c>
      <c r="J176" s="18" t="s">
        <v>13</v>
      </c>
      <c r="K176" s="18" t="s">
        <v>16</v>
      </c>
      <c r="L176" s="18" t="s">
        <v>14</v>
      </c>
      <c r="M176" s="20">
        <v>9.1199999999999992</v>
      </c>
      <c r="N176" s="18" t="s">
        <v>637</v>
      </c>
      <c r="O176" s="11">
        <v>0</v>
      </c>
      <c r="P176" s="21">
        <v>0</v>
      </c>
      <c r="Q176" s="5" t="s">
        <v>614</v>
      </c>
      <c r="R176" s="13" t="s">
        <v>656</v>
      </c>
      <c r="S176" s="5" t="str">
        <f>VLOOKUP(G176,[1]fc!$B$2:$D$707,3,0)</f>
        <v>24CS2260F</v>
      </c>
      <c r="T176" s="5" t="str">
        <f>VLOOKUP(G176,[1]fc!$B$2:$F$707,5,0)</f>
        <v>FOUNDATIONS OF CLOUD-NATIVE COMPUTING &amp; DEVOPS</v>
      </c>
      <c r="U176" s="14" t="s">
        <v>664</v>
      </c>
      <c r="V176" s="15" t="s">
        <v>665</v>
      </c>
      <c r="W176" s="15" t="s">
        <v>666</v>
      </c>
      <c r="X176" s="15" t="s">
        <v>667</v>
      </c>
      <c r="Y176" s="15" t="s">
        <v>668</v>
      </c>
      <c r="Z176" s="24" t="s">
        <v>669</v>
      </c>
      <c r="AA176" s="1" t="s">
        <v>672</v>
      </c>
      <c r="AB176" s="1" t="s">
        <v>673</v>
      </c>
      <c r="AC176" s="5"/>
      <c r="AD176" s="5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 spans="1:52" x14ac:dyDescent="0.3">
      <c r="A177" s="16">
        <v>176</v>
      </c>
      <c r="B177" s="7">
        <v>46177.558344907404</v>
      </c>
      <c r="C177" s="7">
        <v>46177.559467592589</v>
      </c>
      <c r="D177" s="8" t="s">
        <v>426</v>
      </c>
      <c r="E177" s="8" t="s">
        <v>427</v>
      </c>
      <c r="F177" s="7"/>
      <c r="G177" s="9">
        <v>2400032280</v>
      </c>
      <c r="H177" s="8" t="s">
        <v>428</v>
      </c>
      <c r="I177" s="8" t="s">
        <v>12</v>
      </c>
      <c r="J177" s="8" t="s">
        <v>13</v>
      </c>
      <c r="K177" s="8" t="s">
        <v>16</v>
      </c>
      <c r="L177" s="8" t="s">
        <v>14</v>
      </c>
      <c r="M177" s="10">
        <v>8.1999999999999993</v>
      </c>
      <c r="N177" s="8" t="s">
        <v>638</v>
      </c>
      <c r="O177" s="11">
        <v>0</v>
      </c>
      <c r="P177" s="21">
        <v>0</v>
      </c>
      <c r="Q177" s="5" t="s">
        <v>624</v>
      </c>
      <c r="R177" s="13" t="s">
        <v>656</v>
      </c>
      <c r="S177" s="5" t="str">
        <f>VLOOKUP(G177,[1]fc!$B$2:$D$707,3,0)</f>
        <v>24CS2239F</v>
      </c>
      <c r="T177" s="5" t="str">
        <f>VLOOKUP(G177,[1]fc!$B$2:$F$707,5,0)</f>
        <v>SOFTWARE VERIFICATION AND VALIDATION</v>
      </c>
      <c r="U177" s="14" t="s">
        <v>664</v>
      </c>
      <c r="V177" s="15" t="s">
        <v>665</v>
      </c>
      <c r="W177" s="15" t="s">
        <v>666</v>
      </c>
      <c r="X177" s="15" t="s">
        <v>667</v>
      </c>
      <c r="Y177" s="15" t="s">
        <v>668</v>
      </c>
      <c r="Z177" s="24" t="s">
        <v>669</v>
      </c>
      <c r="AA177" s="1" t="s">
        <v>672</v>
      </c>
      <c r="AB177" s="1" t="s">
        <v>673</v>
      </c>
      <c r="AC177" s="5"/>
      <c r="AD177" s="5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</row>
    <row r="178" spans="1:52" x14ac:dyDescent="0.3">
      <c r="A178" s="6">
        <v>177</v>
      </c>
      <c r="B178" s="17">
        <v>46177.597129629627</v>
      </c>
      <c r="C178" s="17">
        <v>46177.598298611112</v>
      </c>
      <c r="D178" s="18" t="s">
        <v>462</v>
      </c>
      <c r="E178" s="18" t="s">
        <v>463</v>
      </c>
      <c r="F178" s="17"/>
      <c r="G178" s="19">
        <v>2400032480</v>
      </c>
      <c r="H178" s="18" t="s">
        <v>464</v>
      </c>
      <c r="I178" s="18" t="s">
        <v>12</v>
      </c>
      <c r="J178" s="18" t="s">
        <v>13</v>
      </c>
      <c r="K178" s="18" t="s">
        <v>15</v>
      </c>
      <c r="L178" s="18" t="s">
        <v>14</v>
      </c>
      <c r="M178" s="20">
        <v>8.86</v>
      </c>
      <c r="N178" s="18" t="s">
        <v>638</v>
      </c>
      <c r="O178" s="11">
        <v>0</v>
      </c>
      <c r="P178" s="21">
        <v>0</v>
      </c>
      <c r="Q178" s="5" t="s">
        <v>622</v>
      </c>
      <c r="R178" s="13" t="s">
        <v>656</v>
      </c>
      <c r="S178" s="5" t="str">
        <f>VLOOKUP(G178,[1]fc!$B$2:$D$707,3,0)</f>
        <v>24CS2256F</v>
      </c>
      <c r="T178" s="5" t="str">
        <f>VLOOKUP(G178,[1]fc!$B$2:$F$707,5,0)</f>
        <v>FOUNDATIONS OF BLOCK CHAIN ENGINEERING</v>
      </c>
      <c r="U178" s="1" t="s">
        <v>664</v>
      </c>
      <c r="V178" s="1" t="s">
        <v>665</v>
      </c>
      <c r="W178" s="1" t="s">
        <v>666</v>
      </c>
      <c r="X178" s="1" t="s">
        <v>667</v>
      </c>
      <c r="Y178" s="1" t="s">
        <v>668</v>
      </c>
      <c r="Z178" s="25" t="s">
        <v>669</v>
      </c>
      <c r="AA178" s="5"/>
      <c r="AB178" s="5"/>
      <c r="AC178" s="5"/>
      <c r="AD178" s="5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 spans="1:52" x14ac:dyDescent="0.3">
      <c r="A179" s="16">
        <v>178</v>
      </c>
      <c r="B179" s="7">
        <v>46177.595613425925</v>
      </c>
      <c r="C179" s="7">
        <v>46177.596215277779</v>
      </c>
      <c r="D179" s="8" t="s">
        <v>459</v>
      </c>
      <c r="E179" s="8" t="s">
        <v>460</v>
      </c>
      <c r="F179" s="7"/>
      <c r="G179" s="9">
        <v>2400031653</v>
      </c>
      <c r="H179" s="8" t="s">
        <v>461</v>
      </c>
      <c r="I179" s="8" t="s">
        <v>12</v>
      </c>
      <c r="J179" s="8" t="s">
        <v>13</v>
      </c>
      <c r="K179" s="8" t="s">
        <v>16</v>
      </c>
      <c r="L179" s="8" t="s">
        <v>14</v>
      </c>
      <c r="M179" s="10">
        <v>8.91</v>
      </c>
      <c r="N179" s="8" t="s">
        <v>652</v>
      </c>
      <c r="O179" s="11">
        <v>0</v>
      </c>
      <c r="P179" s="21">
        <v>0</v>
      </c>
      <c r="Q179" s="5" t="s">
        <v>614</v>
      </c>
      <c r="R179" s="13" t="s">
        <v>656</v>
      </c>
      <c r="S179" s="5" t="str">
        <f>VLOOKUP(G179,[1]fc!$B$2:$D$707,3,0)</f>
        <v>24CS2260F</v>
      </c>
      <c r="T179" s="5" t="str">
        <f>VLOOKUP(G179,[1]fc!$B$2:$F$707,5,0)</f>
        <v>FOUNDATIONS OF CLOUD-NATIVE COMPUTING &amp; DEVOPS</v>
      </c>
      <c r="U179" s="14" t="s">
        <v>664</v>
      </c>
      <c r="V179" s="15" t="s">
        <v>665</v>
      </c>
      <c r="W179" s="15" t="s">
        <v>666</v>
      </c>
      <c r="X179" s="15" t="s">
        <v>667</v>
      </c>
      <c r="Y179" s="15" t="s">
        <v>668</v>
      </c>
      <c r="Z179" s="24" t="s">
        <v>669</v>
      </c>
      <c r="AA179" s="1" t="s">
        <v>672</v>
      </c>
      <c r="AB179" s="1" t="s">
        <v>673</v>
      </c>
      <c r="AC179" s="5"/>
      <c r="AD179" s="5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</row>
    <row r="180" spans="1:52" x14ac:dyDescent="0.3">
      <c r="A180" s="6">
        <v>179</v>
      </c>
      <c r="B180" s="17">
        <v>46116.771481481483</v>
      </c>
      <c r="C180" s="17">
        <v>46116.771956018521</v>
      </c>
      <c r="D180" s="18" t="s">
        <v>25</v>
      </c>
      <c r="E180" s="18" t="s">
        <v>26</v>
      </c>
      <c r="F180" s="17"/>
      <c r="G180" s="19">
        <v>2400030687</v>
      </c>
      <c r="H180" s="18" t="s">
        <v>27</v>
      </c>
      <c r="I180" s="18" t="s">
        <v>12</v>
      </c>
      <c r="J180" s="18" t="s">
        <v>13</v>
      </c>
      <c r="K180" s="18" t="s">
        <v>16</v>
      </c>
      <c r="L180" s="18" t="s">
        <v>14</v>
      </c>
      <c r="M180" s="20">
        <v>9.06</v>
      </c>
      <c r="N180" s="18" t="s">
        <v>628</v>
      </c>
      <c r="O180" s="11">
        <v>0</v>
      </c>
      <c r="P180" s="12">
        <v>0</v>
      </c>
      <c r="Q180" s="5" t="s">
        <v>614</v>
      </c>
      <c r="R180" s="13" t="s">
        <v>656</v>
      </c>
      <c r="S180" s="5" t="str">
        <f>VLOOKUP(G180,[1]fc!$B$2:$D$707,3,0)</f>
        <v>24CS2260F</v>
      </c>
      <c r="T180" s="5" t="str">
        <f>VLOOKUP(G180,[1]fc!$B$2:$F$707,5,0)</f>
        <v>FOUNDATIONS OF CLOUD-NATIVE COMPUTING &amp; DEVOPS</v>
      </c>
      <c r="U180" s="14" t="s">
        <v>664</v>
      </c>
      <c r="V180" s="15" t="s">
        <v>665</v>
      </c>
      <c r="W180" s="15" t="s">
        <v>666</v>
      </c>
      <c r="X180" s="15" t="s">
        <v>667</v>
      </c>
      <c r="Y180" s="15" t="s">
        <v>668</v>
      </c>
      <c r="Z180" s="24" t="s">
        <v>669</v>
      </c>
      <c r="AA180" s="1" t="s">
        <v>672</v>
      </c>
      <c r="AB180" s="1" t="s">
        <v>673</v>
      </c>
      <c r="AC180" s="5"/>
      <c r="AD180" s="5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 spans="1:52" x14ac:dyDescent="0.3">
      <c r="A181" s="16">
        <v>180</v>
      </c>
      <c r="B181" s="17">
        <v>46146.37908564815</v>
      </c>
      <c r="C181" s="17">
        <v>46146.379664351851</v>
      </c>
      <c r="D181" s="18" t="s">
        <v>49</v>
      </c>
      <c r="E181" s="18" t="s">
        <v>50</v>
      </c>
      <c r="F181" s="17"/>
      <c r="G181" s="19">
        <v>2400032843</v>
      </c>
      <c r="H181" s="18" t="s">
        <v>51</v>
      </c>
      <c r="I181" s="18" t="s">
        <v>12</v>
      </c>
      <c r="J181" s="18" t="s">
        <v>13</v>
      </c>
      <c r="K181" s="18" t="s">
        <v>15</v>
      </c>
      <c r="L181" s="18" t="s">
        <v>14</v>
      </c>
      <c r="M181" s="20">
        <v>8.65</v>
      </c>
      <c r="N181" s="18" t="s">
        <v>634</v>
      </c>
      <c r="O181" s="11">
        <v>0</v>
      </c>
      <c r="P181" s="21">
        <v>0</v>
      </c>
      <c r="Q181" s="5" t="s">
        <v>616</v>
      </c>
      <c r="R181" s="13" t="s">
        <v>656</v>
      </c>
      <c r="S181" s="5" t="str">
        <f>VLOOKUP(G181,[1]fc!$B$2:$D$707,3,0)</f>
        <v>24CS2224F</v>
      </c>
      <c r="T181" s="5" t="str">
        <f>VLOOKUP(G181,[1]fc!$B$2:$F$707,5,0)</f>
        <v>CRYPT ANALYSIS AND CYBER DEFENCE</v>
      </c>
      <c r="U181" s="14" t="s">
        <v>664</v>
      </c>
      <c r="V181" s="15" t="s">
        <v>665</v>
      </c>
      <c r="W181" s="15" t="s">
        <v>666</v>
      </c>
      <c r="X181" s="15" t="s">
        <v>667</v>
      </c>
      <c r="Y181" s="15" t="s">
        <v>668</v>
      </c>
      <c r="Z181" s="24" t="s">
        <v>669</v>
      </c>
      <c r="AA181" s="1" t="s">
        <v>672</v>
      </c>
      <c r="AB181" s="1" t="s">
        <v>673</v>
      </c>
      <c r="AC181" s="5"/>
      <c r="AD181" s="5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 spans="1:52" x14ac:dyDescent="0.3">
      <c r="A182" s="6">
        <v>181</v>
      </c>
      <c r="B182" s="7">
        <v>46146.962268518517</v>
      </c>
      <c r="C182" s="7">
        <v>46146.962870370371</v>
      </c>
      <c r="D182" s="8" t="s">
        <v>285</v>
      </c>
      <c r="E182" s="8" t="s">
        <v>286</v>
      </c>
      <c r="F182" s="7"/>
      <c r="G182" s="9">
        <v>2400032753</v>
      </c>
      <c r="H182" s="8" t="s">
        <v>287</v>
      </c>
      <c r="I182" s="8" t="s">
        <v>12</v>
      </c>
      <c r="J182" s="8" t="s">
        <v>13</v>
      </c>
      <c r="K182" s="8" t="s">
        <v>15</v>
      </c>
      <c r="L182" s="8" t="s">
        <v>14</v>
      </c>
      <c r="M182" s="10">
        <v>8.18</v>
      </c>
      <c r="N182" s="8" t="s">
        <v>634</v>
      </c>
      <c r="O182" s="11">
        <v>0</v>
      </c>
      <c r="P182" s="21">
        <v>0</v>
      </c>
      <c r="Q182" s="5" t="s">
        <v>622</v>
      </c>
      <c r="R182" s="13" t="s">
        <v>656</v>
      </c>
      <c r="S182" s="5" t="str">
        <f>VLOOKUP(G182,[1]fc!$B$2:$D$707,3,0)</f>
        <v>24CS2256F</v>
      </c>
      <c r="T182" s="5" t="str">
        <f>VLOOKUP(G182,[1]fc!$B$2:$F$707,5,0)</f>
        <v>FOUNDATIONS OF BLOCK CHAIN ENGINEERING</v>
      </c>
      <c r="U182" s="1" t="s">
        <v>664</v>
      </c>
      <c r="V182" s="1" t="s">
        <v>665</v>
      </c>
      <c r="W182" s="1" t="s">
        <v>666</v>
      </c>
      <c r="X182" s="1" t="s">
        <v>667</v>
      </c>
      <c r="Y182" s="1" t="s">
        <v>668</v>
      </c>
      <c r="Z182" s="25" t="s">
        <v>669</v>
      </c>
      <c r="AA182" s="5"/>
      <c r="AB182" s="5"/>
      <c r="AC182" s="5"/>
      <c r="AD182" s="5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 spans="1:52" x14ac:dyDescent="0.3">
      <c r="A183" s="16">
        <v>182</v>
      </c>
      <c r="B183" s="7">
        <v>46177.317916666667</v>
      </c>
      <c r="C183" s="7">
        <v>46177.322118055556</v>
      </c>
      <c r="D183" s="8" t="s">
        <v>333</v>
      </c>
      <c r="E183" s="8" t="s">
        <v>334</v>
      </c>
      <c r="F183" s="7"/>
      <c r="G183" s="9">
        <v>2400032799</v>
      </c>
      <c r="H183" s="8" t="s">
        <v>335</v>
      </c>
      <c r="I183" s="8" t="s">
        <v>12</v>
      </c>
      <c r="J183" s="8" t="s">
        <v>13</v>
      </c>
      <c r="K183" s="8" t="s">
        <v>15</v>
      </c>
      <c r="L183" s="8" t="s">
        <v>14</v>
      </c>
      <c r="M183" s="10">
        <v>8.9600000000000009</v>
      </c>
      <c r="N183" s="8" t="s">
        <v>634</v>
      </c>
      <c r="O183" s="11">
        <v>0</v>
      </c>
      <c r="P183" s="21">
        <v>0</v>
      </c>
      <c r="Q183" s="5" t="s">
        <v>613</v>
      </c>
      <c r="R183" s="13" t="s">
        <v>656</v>
      </c>
      <c r="S183" s="5" t="str">
        <f>VLOOKUP(G183,[1]fc!$B$2:$D$707,3,0)</f>
        <v>24CS2258F</v>
      </c>
      <c r="T183" s="5" t="str">
        <f>VLOOKUP(G183,[1]fc!$B$2:$F$707,5,0)</f>
        <v>NATURAL LANGUAGE PROCESSING</v>
      </c>
      <c r="U183" s="14" t="s">
        <v>664</v>
      </c>
      <c r="V183" s="15" t="s">
        <v>665</v>
      </c>
      <c r="W183" s="15" t="s">
        <v>666</v>
      </c>
      <c r="X183" s="15" t="s">
        <v>667</v>
      </c>
      <c r="Y183" s="15" t="s">
        <v>668</v>
      </c>
      <c r="Z183" s="24" t="s">
        <v>669</v>
      </c>
      <c r="AA183" s="1" t="s">
        <v>672</v>
      </c>
      <c r="AB183" s="1" t="s">
        <v>673</v>
      </c>
      <c r="AC183" s="5"/>
      <c r="AD183" s="5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 spans="1:52" x14ac:dyDescent="0.3">
      <c r="A184" s="6">
        <v>183</v>
      </c>
      <c r="B184" s="17">
        <v>46177.636932870373</v>
      </c>
      <c r="C184" s="17">
        <v>46177.638923611114</v>
      </c>
      <c r="D184" s="18" t="s">
        <v>486</v>
      </c>
      <c r="E184" s="18" t="s">
        <v>487</v>
      </c>
      <c r="F184" s="17"/>
      <c r="G184" s="19">
        <v>2400033290</v>
      </c>
      <c r="H184" s="18" t="s">
        <v>488</v>
      </c>
      <c r="I184" s="18" t="s">
        <v>12</v>
      </c>
      <c r="J184" s="18" t="s">
        <v>13</v>
      </c>
      <c r="K184" s="18" t="s">
        <v>16</v>
      </c>
      <c r="L184" s="18" t="s">
        <v>14</v>
      </c>
      <c r="M184" s="20">
        <v>8.86</v>
      </c>
      <c r="N184" s="18" t="s">
        <v>634</v>
      </c>
      <c r="O184" s="11">
        <v>0</v>
      </c>
      <c r="P184" s="12">
        <v>0</v>
      </c>
      <c r="Q184" s="5" t="s">
        <v>622</v>
      </c>
      <c r="R184" s="13" t="s">
        <v>656</v>
      </c>
      <c r="S184" s="5" t="str">
        <f>VLOOKUP(G184,[1]fc!$B$2:$D$707,3,0)</f>
        <v>24CS2256F</v>
      </c>
      <c r="T184" s="5" t="str">
        <f>VLOOKUP(G184,[1]fc!$B$2:$F$707,5,0)</f>
        <v>FOUNDATIONS OF BLOCK CHAIN ENGINEERING</v>
      </c>
      <c r="U184" s="1" t="s">
        <v>664</v>
      </c>
      <c r="V184" s="1" t="s">
        <v>665</v>
      </c>
      <c r="W184" s="1" t="s">
        <v>666</v>
      </c>
      <c r="X184" s="1" t="s">
        <v>667</v>
      </c>
      <c r="Y184" s="1" t="s">
        <v>668</v>
      </c>
      <c r="Z184" s="25" t="s">
        <v>669</v>
      </c>
      <c r="AA184" s="5"/>
      <c r="AB184" s="5"/>
      <c r="AC184" s="5"/>
      <c r="AD184" s="5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 spans="1:52" x14ac:dyDescent="0.3">
      <c r="A185" s="16">
        <v>184</v>
      </c>
      <c r="B185" s="17">
        <v>46177.767118055555</v>
      </c>
      <c r="C185" s="17">
        <v>46177.767476851855</v>
      </c>
      <c r="D185" s="18" t="s">
        <v>543</v>
      </c>
      <c r="E185" s="18" t="s">
        <v>544</v>
      </c>
      <c r="F185" s="17"/>
      <c r="G185" s="19">
        <v>2400033009</v>
      </c>
      <c r="H185" s="18" t="s">
        <v>545</v>
      </c>
      <c r="I185" s="18" t="s">
        <v>12</v>
      </c>
      <c r="J185" s="18" t="s">
        <v>13</v>
      </c>
      <c r="K185" s="18" t="s">
        <v>15</v>
      </c>
      <c r="L185" s="18" t="s">
        <v>14</v>
      </c>
      <c r="M185" s="20">
        <v>9.1300000000000008</v>
      </c>
      <c r="N185" s="18" t="s">
        <v>634</v>
      </c>
      <c r="O185" s="11">
        <v>0</v>
      </c>
      <c r="P185" s="21">
        <v>0</v>
      </c>
      <c r="Q185" s="5" t="s">
        <v>616</v>
      </c>
      <c r="R185" s="13" t="s">
        <v>656</v>
      </c>
      <c r="S185" s="5" t="str">
        <f>VLOOKUP(G185,[1]fc!$B$2:$D$707,3,0)</f>
        <v>24CS2227F</v>
      </c>
      <c r="T185" s="5" t="str">
        <f>VLOOKUP(G185,[1]fc!$B$2:$F$707,5,0)</f>
        <v>DATA ANALYTICS AND VISUALIZATION</v>
      </c>
      <c r="U185" s="14" t="s">
        <v>664</v>
      </c>
      <c r="V185" s="15" t="s">
        <v>665</v>
      </c>
      <c r="W185" s="15" t="s">
        <v>666</v>
      </c>
      <c r="X185" s="15" t="s">
        <v>667</v>
      </c>
      <c r="Y185" s="15" t="s">
        <v>668</v>
      </c>
      <c r="Z185" s="24" t="s">
        <v>669</v>
      </c>
      <c r="AA185" s="1" t="s">
        <v>672</v>
      </c>
      <c r="AB185" s="1" t="s">
        <v>673</v>
      </c>
      <c r="AC185" s="5"/>
      <c r="AD185" s="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 spans="1:52" x14ac:dyDescent="0.3">
      <c r="A186" s="6">
        <v>185</v>
      </c>
      <c r="B186" s="7">
        <v>46207.50203703704</v>
      </c>
      <c r="C186" s="7">
        <v>46207.502511574072</v>
      </c>
      <c r="D186" s="8" t="s">
        <v>585</v>
      </c>
      <c r="E186" s="8" t="s">
        <v>586</v>
      </c>
      <c r="F186" s="7"/>
      <c r="G186" s="9">
        <v>2400033140</v>
      </c>
      <c r="H186" s="8" t="s">
        <v>587</v>
      </c>
      <c r="I186" s="8" t="s">
        <v>12</v>
      </c>
      <c r="J186" s="8" t="s">
        <v>13</v>
      </c>
      <c r="K186" s="8" t="s">
        <v>15</v>
      </c>
      <c r="L186" s="8" t="s">
        <v>14</v>
      </c>
      <c r="M186" s="10">
        <v>8.7100000000000009</v>
      </c>
      <c r="N186" s="8" t="s">
        <v>634</v>
      </c>
      <c r="O186" s="11">
        <v>0</v>
      </c>
      <c r="P186" s="21">
        <v>0</v>
      </c>
      <c r="Q186" s="5" t="s">
        <v>615</v>
      </c>
      <c r="R186" s="13" t="s">
        <v>656</v>
      </c>
      <c r="S186" s="5" t="str">
        <f>VLOOKUP(G186,[1]fc!$B$2:$D$707,3,0)</f>
        <v>24CS2255F</v>
      </c>
      <c r="T186" s="5" t="str">
        <f>VLOOKUP(G186,[1]fc!$B$2:$F$707,5,0)</f>
        <v>ADVANCED DATA STRUCTURES</v>
      </c>
      <c r="U186" s="1" t="s">
        <v>664</v>
      </c>
      <c r="V186" s="1" t="s">
        <v>665</v>
      </c>
      <c r="W186" s="1" t="s">
        <v>666</v>
      </c>
      <c r="X186" s="1" t="s">
        <v>667</v>
      </c>
      <c r="Y186" s="14" t="s">
        <v>672</v>
      </c>
      <c r="Z186" s="24" t="s">
        <v>673</v>
      </c>
      <c r="AA186" s="1" t="s">
        <v>675</v>
      </c>
      <c r="AB186" s="1" t="s">
        <v>676</v>
      </c>
      <c r="AC186" s="5"/>
      <c r="AD186" s="5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</row>
    <row r="187" spans="1:52" x14ac:dyDescent="0.3">
      <c r="A187" s="16">
        <v>186</v>
      </c>
      <c r="B187" s="17">
        <v>46146.53496527778</v>
      </c>
      <c r="C187" s="17">
        <v>46146.535636574074</v>
      </c>
      <c r="D187" s="18" t="s">
        <v>177</v>
      </c>
      <c r="E187" s="18" t="s">
        <v>178</v>
      </c>
      <c r="F187" s="17"/>
      <c r="G187" s="19">
        <v>2400030020</v>
      </c>
      <c r="H187" s="18" t="s">
        <v>179</v>
      </c>
      <c r="I187" s="18" t="s">
        <v>12</v>
      </c>
      <c r="J187" s="18" t="s">
        <v>13</v>
      </c>
      <c r="K187" s="18" t="s">
        <v>16</v>
      </c>
      <c r="L187" s="18" t="s">
        <v>14</v>
      </c>
      <c r="M187" s="20">
        <v>8.32</v>
      </c>
      <c r="N187" s="18" t="s">
        <v>648</v>
      </c>
      <c r="O187" s="11">
        <v>0</v>
      </c>
      <c r="P187" s="21">
        <v>0</v>
      </c>
      <c r="Q187" s="5" t="s">
        <v>613</v>
      </c>
      <c r="R187" s="13" t="s">
        <v>656</v>
      </c>
      <c r="S187" s="5" t="str">
        <f>VLOOKUP(G187,[1]fc!$B$2:$D$707,3,0)</f>
        <v>24CS2258F</v>
      </c>
      <c r="T187" s="5" t="str">
        <f>VLOOKUP(G187,[1]fc!$B$2:$F$707,5,0)</f>
        <v>NATURAL LANGUAGE PROCESSING</v>
      </c>
      <c r="U187" s="14" t="s">
        <v>664</v>
      </c>
      <c r="V187" s="15" t="s">
        <v>665</v>
      </c>
      <c r="W187" s="15" t="s">
        <v>666</v>
      </c>
      <c r="X187" s="15" t="s">
        <v>667</v>
      </c>
      <c r="Y187" s="15" t="s">
        <v>668</v>
      </c>
      <c r="Z187" s="24" t="s">
        <v>669</v>
      </c>
      <c r="AA187" s="1" t="s">
        <v>672</v>
      </c>
      <c r="AB187" s="1" t="s">
        <v>673</v>
      </c>
      <c r="AC187" s="5"/>
      <c r="AD187" s="5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 spans="1:52" x14ac:dyDescent="0.3">
      <c r="A188" s="6">
        <v>187</v>
      </c>
      <c r="B188" s="17">
        <v>46146.58148148148</v>
      </c>
      <c r="C188" s="17">
        <v>46146.58189814815</v>
      </c>
      <c r="D188" s="18" t="s">
        <v>195</v>
      </c>
      <c r="E188" s="18" t="s">
        <v>196</v>
      </c>
      <c r="F188" s="17"/>
      <c r="G188" s="19">
        <v>2400030010</v>
      </c>
      <c r="H188" s="18" t="s">
        <v>197</v>
      </c>
      <c r="I188" s="18" t="s">
        <v>12</v>
      </c>
      <c r="J188" s="18" t="s">
        <v>13</v>
      </c>
      <c r="K188" s="18" t="s">
        <v>15</v>
      </c>
      <c r="L188" s="18" t="s">
        <v>14</v>
      </c>
      <c r="M188" s="20">
        <v>8.7799999999999994</v>
      </c>
      <c r="N188" s="18" t="s">
        <v>648</v>
      </c>
      <c r="O188" s="11">
        <v>0</v>
      </c>
      <c r="P188" s="21">
        <v>0</v>
      </c>
      <c r="Q188" s="5" t="s">
        <v>613</v>
      </c>
      <c r="R188" s="13" t="s">
        <v>656</v>
      </c>
      <c r="S188" s="5" t="str">
        <f>VLOOKUP(G188,[1]fc!$B$2:$D$707,3,0)</f>
        <v>24CS2260F</v>
      </c>
      <c r="T188" s="5" t="str">
        <f>VLOOKUP(G188,[1]fc!$B$2:$F$707,5,0)</f>
        <v>FOUNDATIONS OF CLOUD-NATIVE COMPUTING &amp; DEVOPS</v>
      </c>
      <c r="U188" s="14" t="s">
        <v>664</v>
      </c>
      <c r="V188" s="15" t="s">
        <v>665</v>
      </c>
      <c r="W188" s="15" t="s">
        <v>666</v>
      </c>
      <c r="X188" s="15" t="s">
        <v>667</v>
      </c>
      <c r="Y188" s="15" t="s">
        <v>668</v>
      </c>
      <c r="Z188" s="24" t="s">
        <v>669</v>
      </c>
      <c r="AA188" s="1" t="s">
        <v>672</v>
      </c>
      <c r="AB188" s="1" t="s">
        <v>673</v>
      </c>
      <c r="AC188" s="5"/>
      <c r="AD188" s="5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 spans="1:52" x14ac:dyDescent="0.3">
      <c r="A189" s="16">
        <v>188</v>
      </c>
      <c r="B189" s="17">
        <v>46146.811064814814</v>
      </c>
      <c r="C189" s="17">
        <v>46146.811412037037</v>
      </c>
      <c r="D189" s="18" t="s">
        <v>237</v>
      </c>
      <c r="E189" s="18" t="s">
        <v>238</v>
      </c>
      <c r="F189" s="17"/>
      <c r="G189" s="19">
        <v>2400030267</v>
      </c>
      <c r="H189" s="18" t="s">
        <v>239</v>
      </c>
      <c r="I189" s="18" t="s">
        <v>12</v>
      </c>
      <c r="J189" s="18" t="s">
        <v>13</v>
      </c>
      <c r="K189" s="18" t="s">
        <v>15</v>
      </c>
      <c r="L189" s="18" t="s">
        <v>14</v>
      </c>
      <c r="M189" s="20">
        <v>9.41</v>
      </c>
      <c r="N189" s="18" t="s">
        <v>648</v>
      </c>
      <c r="O189" s="11">
        <v>0</v>
      </c>
      <c r="P189" s="21">
        <v>0</v>
      </c>
      <c r="Q189" s="5" t="s">
        <v>613</v>
      </c>
      <c r="R189" s="13" t="s">
        <v>656</v>
      </c>
      <c r="S189" s="5" t="str">
        <f>VLOOKUP(G189,[1]fc!$B$2:$D$707,3,0)</f>
        <v>24CS2255F</v>
      </c>
      <c r="T189" s="5" t="str">
        <f>VLOOKUP(G189,[1]fc!$B$2:$F$707,5,0)</f>
        <v>ADVANCED DATA STRUCTURES</v>
      </c>
      <c r="U189" s="14" t="s">
        <v>664</v>
      </c>
      <c r="V189" s="15" t="s">
        <v>665</v>
      </c>
      <c r="W189" s="15" t="s">
        <v>666</v>
      </c>
      <c r="X189" s="15" t="s">
        <v>667</v>
      </c>
      <c r="Y189" s="15" t="s">
        <v>668</v>
      </c>
      <c r="Z189" s="24" t="s">
        <v>669</v>
      </c>
      <c r="AA189" s="1" t="s">
        <v>672</v>
      </c>
      <c r="AB189" s="1" t="s">
        <v>673</v>
      </c>
      <c r="AC189" s="5"/>
      <c r="AD189" s="5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 spans="1:52" x14ac:dyDescent="0.3">
      <c r="A190" s="6">
        <v>189</v>
      </c>
      <c r="B190" s="17">
        <v>46146.903379629628</v>
      </c>
      <c r="C190" s="17">
        <v>46146.904976851853</v>
      </c>
      <c r="D190" s="18" t="s">
        <v>276</v>
      </c>
      <c r="E190" s="18" t="s">
        <v>277</v>
      </c>
      <c r="F190" s="17"/>
      <c r="G190" s="19">
        <v>2400030152</v>
      </c>
      <c r="H190" s="18" t="s">
        <v>278</v>
      </c>
      <c r="I190" s="18" t="s">
        <v>12</v>
      </c>
      <c r="J190" s="18" t="s">
        <v>13</v>
      </c>
      <c r="K190" s="18" t="s">
        <v>15</v>
      </c>
      <c r="L190" s="18" t="s">
        <v>14</v>
      </c>
      <c r="M190" s="20">
        <v>8.8800000000000008</v>
      </c>
      <c r="N190" s="18" t="s">
        <v>648</v>
      </c>
      <c r="O190" s="11">
        <v>0</v>
      </c>
      <c r="P190" s="21">
        <v>0</v>
      </c>
      <c r="Q190" s="5" t="s">
        <v>613</v>
      </c>
      <c r="R190" s="13" t="s">
        <v>656</v>
      </c>
      <c r="S190" s="5" t="str">
        <f>VLOOKUP(G190,[1]fc!$B$2:$D$707,3,0)</f>
        <v>24CS2258F</v>
      </c>
      <c r="T190" s="5" t="str">
        <f>VLOOKUP(G190,[1]fc!$B$2:$F$707,5,0)</f>
        <v>NATURAL LANGUAGE PROCESSING</v>
      </c>
      <c r="U190" s="14" t="s">
        <v>664</v>
      </c>
      <c r="V190" s="15" t="s">
        <v>665</v>
      </c>
      <c r="W190" s="15" t="s">
        <v>666</v>
      </c>
      <c r="X190" s="15" t="s">
        <v>667</v>
      </c>
      <c r="Y190" s="15" t="s">
        <v>668</v>
      </c>
      <c r="Z190" s="24" t="s">
        <v>669</v>
      </c>
      <c r="AA190" s="1" t="s">
        <v>672</v>
      </c>
      <c r="AB190" s="1" t="s">
        <v>673</v>
      </c>
      <c r="AC190" s="5"/>
      <c r="AD190" s="5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 spans="1:52" x14ac:dyDescent="0.3">
      <c r="A191" s="16">
        <v>190</v>
      </c>
      <c r="B191" s="17">
        <v>46146.989027777781</v>
      </c>
      <c r="C191" s="17">
        <v>46146.989085648151</v>
      </c>
      <c r="D191" s="18" t="s">
        <v>306</v>
      </c>
      <c r="E191" s="18" t="s">
        <v>307</v>
      </c>
      <c r="F191" s="17"/>
      <c r="G191" s="19">
        <v>2400030092</v>
      </c>
      <c r="H191" s="18" t="s">
        <v>308</v>
      </c>
      <c r="I191" s="18" t="s">
        <v>12</v>
      </c>
      <c r="J191" s="18" t="s">
        <v>13</v>
      </c>
      <c r="K191" s="18" t="s">
        <v>15</v>
      </c>
      <c r="L191" s="18" t="s">
        <v>14</v>
      </c>
      <c r="M191" s="20">
        <v>8.6999999999999993</v>
      </c>
      <c r="N191" s="18" t="s">
        <v>648</v>
      </c>
      <c r="O191" s="11">
        <v>0</v>
      </c>
      <c r="P191" s="21">
        <v>0</v>
      </c>
      <c r="Q191" s="5" t="s">
        <v>613</v>
      </c>
      <c r="R191" s="13" t="s">
        <v>656</v>
      </c>
      <c r="S191" s="5" t="str">
        <f>VLOOKUP(G191,[1]fc!$B$2:$D$707,3,0)</f>
        <v>24CS2239F</v>
      </c>
      <c r="T191" s="5" t="str">
        <f>VLOOKUP(G191,[1]fc!$B$2:$F$707,5,0)</f>
        <v>SOFTWARE VERIFICATION AND VALIDATION</v>
      </c>
      <c r="U191" s="14" t="s">
        <v>664</v>
      </c>
      <c r="V191" s="15" t="s">
        <v>665</v>
      </c>
      <c r="W191" s="15" t="s">
        <v>666</v>
      </c>
      <c r="X191" s="15" t="s">
        <v>667</v>
      </c>
      <c r="Y191" s="15" t="s">
        <v>668</v>
      </c>
      <c r="Z191" s="24" t="s">
        <v>669</v>
      </c>
      <c r="AA191" s="1" t="s">
        <v>672</v>
      </c>
      <c r="AB191" s="1" t="s">
        <v>673</v>
      </c>
      <c r="AC191" s="5"/>
      <c r="AD191" s="5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 spans="1:52" x14ac:dyDescent="0.3">
      <c r="A192" s="6">
        <v>191</v>
      </c>
      <c r="B192" s="7">
        <v>46146.995833333334</v>
      </c>
      <c r="C192" s="7">
        <v>46146.995868055557</v>
      </c>
      <c r="D192" s="8" t="s">
        <v>309</v>
      </c>
      <c r="E192" s="8" t="s">
        <v>310</v>
      </c>
      <c r="F192" s="7"/>
      <c r="G192" s="9">
        <v>2400030018</v>
      </c>
      <c r="H192" s="8" t="s">
        <v>311</v>
      </c>
      <c r="I192" s="8" t="s">
        <v>12</v>
      </c>
      <c r="J192" s="8" t="s">
        <v>13</v>
      </c>
      <c r="K192" s="8" t="s">
        <v>16</v>
      </c>
      <c r="L192" s="8" t="s">
        <v>14</v>
      </c>
      <c r="M192" s="10">
        <v>8.86</v>
      </c>
      <c r="N192" s="8" t="s">
        <v>648</v>
      </c>
      <c r="O192" s="11">
        <v>0</v>
      </c>
      <c r="P192" s="21">
        <v>0</v>
      </c>
      <c r="Q192" s="5" t="s">
        <v>613</v>
      </c>
      <c r="R192" s="13" t="s">
        <v>656</v>
      </c>
      <c r="S192" s="5" t="str">
        <f>VLOOKUP(G192,[1]fc!$B$2:$D$707,3,0)</f>
        <v>24CS2221F</v>
      </c>
      <c r="T192" s="5" t="str">
        <f>VLOOKUP(G192,[1]fc!$B$2:$F$707,5,0)</f>
        <v>UX DESIGN</v>
      </c>
      <c r="U192" s="14" t="s">
        <v>664</v>
      </c>
      <c r="V192" s="15" t="s">
        <v>665</v>
      </c>
      <c r="W192" s="15" t="s">
        <v>666</v>
      </c>
      <c r="X192" s="15" t="s">
        <v>667</v>
      </c>
      <c r="Y192" s="15" t="s">
        <v>668</v>
      </c>
      <c r="Z192" s="24" t="s">
        <v>669</v>
      </c>
      <c r="AA192" s="1" t="s">
        <v>672</v>
      </c>
      <c r="AB192" s="1" t="s">
        <v>673</v>
      </c>
      <c r="AC192" s="5"/>
      <c r="AD192" s="5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 spans="1:52" x14ac:dyDescent="0.3">
      <c r="A193" s="16">
        <v>192</v>
      </c>
      <c r="B193" s="7">
        <v>46177.006886574076</v>
      </c>
      <c r="C193" s="7">
        <v>46177.007673611108</v>
      </c>
      <c r="D193" s="8" t="s">
        <v>312</v>
      </c>
      <c r="E193" s="8" t="s">
        <v>313</v>
      </c>
      <c r="F193" s="7"/>
      <c r="G193" s="9">
        <v>2400030104</v>
      </c>
      <c r="H193" s="8" t="s">
        <v>314</v>
      </c>
      <c r="I193" s="8" t="s">
        <v>12</v>
      </c>
      <c r="J193" s="8" t="s">
        <v>13</v>
      </c>
      <c r="K193" s="8" t="s">
        <v>15</v>
      </c>
      <c r="L193" s="8" t="s">
        <v>14</v>
      </c>
      <c r="M193" s="10">
        <v>8.76</v>
      </c>
      <c r="N193" s="8" t="s">
        <v>648</v>
      </c>
      <c r="O193" s="11">
        <v>0</v>
      </c>
      <c r="P193" s="21">
        <v>0</v>
      </c>
      <c r="Q193" s="5" t="s">
        <v>613</v>
      </c>
      <c r="R193" s="13" t="s">
        <v>656</v>
      </c>
      <c r="S193" s="5" t="str">
        <f>VLOOKUP(G193,[1]fc!$B$2:$D$707,3,0)</f>
        <v>24CS2239F</v>
      </c>
      <c r="T193" s="5" t="str">
        <f>VLOOKUP(G193,[1]fc!$B$2:$F$707,5,0)</f>
        <v>SOFTWARE VERIFICATION AND VALIDATION</v>
      </c>
      <c r="U193" s="14" t="s">
        <v>664</v>
      </c>
      <c r="V193" s="15" t="s">
        <v>665</v>
      </c>
      <c r="W193" s="15" t="s">
        <v>666</v>
      </c>
      <c r="X193" s="15" t="s">
        <v>667</v>
      </c>
      <c r="Y193" s="15" t="s">
        <v>668</v>
      </c>
      <c r="Z193" s="24" t="s">
        <v>669</v>
      </c>
      <c r="AA193" s="1" t="s">
        <v>672</v>
      </c>
      <c r="AB193" s="1" t="s">
        <v>673</v>
      </c>
      <c r="AC193" s="5"/>
      <c r="AD193" s="5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 spans="1:52" x14ac:dyDescent="0.3">
      <c r="A194" s="6">
        <v>193</v>
      </c>
      <c r="B194" s="7">
        <v>46177.337071759262</v>
      </c>
      <c r="C194" s="7">
        <v>46177.351284722223</v>
      </c>
      <c r="D194" s="8" t="s">
        <v>339</v>
      </c>
      <c r="E194" s="8" t="s">
        <v>340</v>
      </c>
      <c r="F194" s="7"/>
      <c r="G194" s="9">
        <v>2400010046</v>
      </c>
      <c r="H194" s="8" t="s">
        <v>341</v>
      </c>
      <c r="I194" s="8" t="s">
        <v>12</v>
      </c>
      <c r="J194" s="8" t="s">
        <v>13</v>
      </c>
      <c r="K194" s="8" t="s">
        <v>15</v>
      </c>
      <c r="L194" s="8" t="s">
        <v>14</v>
      </c>
      <c r="M194" s="10">
        <v>8.4</v>
      </c>
      <c r="N194" s="8" t="s">
        <v>648</v>
      </c>
      <c r="O194" s="11">
        <v>0</v>
      </c>
      <c r="P194" s="21">
        <v>0</v>
      </c>
      <c r="Q194" s="5" t="s">
        <v>613</v>
      </c>
      <c r="R194" s="13" t="s">
        <v>656</v>
      </c>
      <c r="S194" s="5" t="str">
        <f>VLOOKUP(G194,[1]fc!$B$2:$D$707,3,0)</f>
        <v>24CS2258F</v>
      </c>
      <c r="T194" s="5" t="str">
        <f>VLOOKUP(G194,[1]fc!$B$2:$F$707,5,0)</f>
        <v>NATURAL LANGUAGE PROCESSING</v>
      </c>
      <c r="U194" s="14" t="s">
        <v>664</v>
      </c>
      <c r="V194" s="15" t="s">
        <v>665</v>
      </c>
      <c r="W194" s="15" t="s">
        <v>666</v>
      </c>
      <c r="X194" s="15" t="s">
        <v>667</v>
      </c>
      <c r="Y194" s="15" t="s">
        <v>668</v>
      </c>
      <c r="Z194" s="24" t="s">
        <v>669</v>
      </c>
      <c r="AA194" s="1" t="s">
        <v>672</v>
      </c>
      <c r="AB194" s="1" t="s">
        <v>673</v>
      </c>
      <c r="AC194" s="5"/>
      <c r="AD194" s="5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</row>
    <row r="195" spans="1:52" x14ac:dyDescent="0.3">
      <c r="A195" s="16">
        <v>194</v>
      </c>
      <c r="B195" s="17">
        <v>46177.449930555558</v>
      </c>
      <c r="C195" s="17">
        <v>46177.452638888892</v>
      </c>
      <c r="D195" s="18" t="s">
        <v>378</v>
      </c>
      <c r="E195" s="18" t="s">
        <v>379</v>
      </c>
      <c r="F195" s="17"/>
      <c r="G195" s="19">
        <v>2400030407</v>
      </c>
      <c r="H195" s="18" t="s">
        <v>380</v>
      </c>
      <c r="I195" s="18" t="s">
        <v>12</v>
      </c>
      <c r="J195" s="18" t="s">
        <v>13</v>
      </c>
      <c r="K195" s="18" t="s">
        <v>16</v>
      </c>
      <c r="L195" s="18" t="s">
        <v>14</v>
      </c>
      <c r="M195" s="20">
        <v>8.56</v>
      </c>
      <c r="N195" s="18" t="s">
        <v>648</v>
      </c>
      <c r="O195" s="11">
        <v>0</v>
      </c>
      <c r="P195" s="21">
        <v>0</v>
      </c>
      <c r="Q195" s="26" t="s">
        <v>677</v>
      </c>
      <c r="R195" s="13" t="s">
        <v>656</v>
      </c>
      <c r="S195" s="5" t="str">
        <f>VLOOKUP(G195,[1]fc!$B$2:$D$707,3,0)</f>
        <v>24CS2255F</v>
      </c>
      <c r="T195" s="5" t="str">
        <f>VLOOKUP(G195,[1]fc!$B$2:$F$707,5,0)</f>
        <v>ADVANCED DATA STRUCTURES</v>
      </c>
      <c r="U195" s="14" t="s">
        <v>664</v>
      </c>
      <c r="V195" s="15" t="s">
        <v>665</v>
      </c>
      <c r="W195" s="15" t="s">
        <v>666</v>
      </c>
      <c r="X195" s="15" t="s">
        <v>667</v>
      </c>
      <c r="Y195" s="15" t="s">
        <v>668</v>
      </c>
      <c r="Z195" s="24" t="s">
        <v>669</v>
      </c>
      <c r="AA195" s="1" t="s">
        <v>672</v>
      </c>
      <c r="AB195" s="1" t="s">
        <v>673</v>
      </c>
      <c r="AC195" s="5"/>
      <c r="AD195" s="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  <row r="196" spans="1:52" x14ac:dyDescent="0.3">
      <c r="A196" s="6">
        <v>195</v>
      </c>
      <c r="B196" s="7">
        <v>46177.562511574077</v>
      </c>
      <c r="C196" s="7">
        <v>46177.565613425926</v>
      </c>
      <c r="D196" s="8" t="s">
        <v>435</v>
      </c>
      <c r="E196" s="8" t="s">
        <v>436</v>
      </c>
      <c r="F196" s="7"/>
      <c r="G196" s="9">
        <v>2400030259</v>
      </c>
      <c r="H196" s="8" t="s">
        <v>437</v>
      </c>
      <c r="I196" s="8" t="s">
        <v>12</v>
      </c>
      <c r="J196" s="8" t="s">
        <v>13</v>
      </c>
      <c r="K196" s="8" t="s">
        <v>15</v>
      </c>
      <c r="L196" s="8" t="s">
        <v>14</v>
      </c>
      <c r="M196" s="10">
        <v>8.5</v>
      </c>
      <c r="N196" s="8" t="s">
        <v>648</v>
      </c>
      <c r="O196" s="11">
        <v>0</v>
      </c>
      <c r="P196" s="21">
        <v>0</v>
      </c>
      <c r="Q196" s="5" t="s">
        <v>613</v>
      </c>
      <c r="R196" s="13" t="s">
        <v>656</v>
      </c>
      <c r="S196" s="5" t="str">
        <f>VLOOKUP(G196,[1]fc!$B$2:$D$707,3,0)</f>
        <v>24CS2227F</v>
      </c>
      <c r="T196" s="5" t="str">
        <f>VLOOKUP(G196,[1]fc!$B$2:$F$707,5,0)</f>
        <v>DATA ANALYTICS AND VISUALIZATION</v>
      </c>
      <c r="U196" s="14" t="s">
        <v>664</v>
      </c>
      <c r="V196" s="15" t="s">
        <v>665</v>
      </c>
      <c r="W196" s="15" t="s">
        <v>666</v>
      </c>
      <c r="X196" s="15" t="s">
        <v>667</v>
      </c>
      <c r="Y196" s="15" t="s">
        <v>668</v>
      </c>
      <c r="Z196" s="24" t="s">
        <v>669</v>
      </c>
      <c r="AA196" s="1" t="s">
        <v>672</v>
      </c>
      <c r="AB196" s="1" t="s">
        <v>673</v>
      </c>
      <c r="AC196" s="5"/>
      <c r="AD196" s="5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</row>
    <row r="197" spans="1:52" x14ac:dyDescent="0.3">
      <c r="A197" s="16">
        <v>196</v>
      </c>
      <c r="B197" s="7">
        <v>46177.626666666663</v>
      </c>
      <c r="C197" s="7">
        <v>46177.635752314818</v>
      </c>
      <c r="D197" s="8" t="s">
        <v>477</v>
      </c>
      <c r="E197" s="8" t="s">
        <v>478</v>
      </c>
      <c r="F197" s="7"/>
      <c r="G197" s="9">
        <v>2400030061</v>
      </c>
      <c r="H197" s="8" t="s">
        <v>479</v>
      </c>
      <c r="I197" s="8" t="s">
        <v>12</v>
      </c>
      <c r="J197" s="8" t="s">
        <v>13</v>
      </c>
      <c r="K197" s="8" t="s">
        <v>16</v>
      </c>
      <c r="L197" s="8" t="s">
        <v>14</v>
      </c>
      <c r="M197" s="10">
        <v>8.4700000000000006</v>
      </c>
      <c r="N197" s="8" t="s">
        <v>648</v>
      </c>
      <c r="O197" s="11">
        <v>0</v>
      </c>
      <c r="P197" s="21">
        <v>0</v>
      </c>
      <c r="Q197" s="5" t="s">
        <v>613</v>
      </c>
      <c r="R197" s="13" t="s">
        <v>656</v>
      </c>
      <c r="S197" s="5" t="str">
        <f>VLOOKUP(G197,[1]fc!$B$2:$D$707,3,0)</f>
        <v>24EE2230F</v>
      </c>
      <c r="T197" s="5" t="str">
        <f>VLOOKUP(G197,[1]fc!$B$2:$F$707,5,0)</f>
        <v>ESSENTIALS OF AUTONOMOUS SYSTEMS</v>
      </c>
      <c r="U197" s="14" t="s">
        <v>664</v>
      </c>
      <c r="V197" s="15" t="s">
        <v>665</v>
      </c>
      <c r="W197" s="15" t="s">
        <v>666</v>
      </c>
      <c r="X197" s="15" t="s">
        <v>667</v>
      </c>
      <c r="Y197" s="15" t="s">
        <v>668</v>
      </c>
      <c r="Z197" s="24" t="s">
        <v>669</v>
      </c>
      <c r="AA197" s="1" t="s">
        <v>672</v>
      </c>
      <c r="AB197" s="1" t="s">
        <v>673</v>
      </c>
      <c r="AC197" s="5"/>
      <c r="AD197" s="5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</row>
    <row r="198" spans="1:52" x14ac:dyDescent="0.3">
      <c r="A198" s="6">
        <v>197</v>
      </c>
      <c r="B198" s="17">
        <v>46177.635439814818</v>
      </c>
      <c r="C198" s="17">
        <v>46177.635844907411</v>
      </c>
      <c r="D198" s="18" t="s">
        <v>480</v>
      </c>
      <c r="E198" s="18" t="s">
        <v>481</v>
      </c>
      <c r="F198" s="17"/>
      <c r="G198" s="19">
        <v>2400030095</v>
      </c>
      <c r="H198" s="18" t="s">
        <v>482</v>
      </c>
      <c r="I198" s="18" t="s">
        <v>12</v>
      </c>
      <c r="J198" s="18" t="s">
        <v>13</v>
      </c>
      <c r="K198" s="18" t="s">
        <v>16</v>
      </c>
      <c r="L198" s="18" t="s">
        <v>14</v>
      </c>
      <c r="M198" s="20">
        <v>8.32</v>
      </c>
      <c r="N198" s="18" t="s">
        <v>648</v>
      </c>
      <c r="O198" s="11">
        <v>0</v>
      </c>
      <c r="P198" s="21">
        <v>0</v>
      </c>
      <c r="Q198" s="5" t="s">
        <v>613</v>
      </c>
      <c r="R198" s="13" t="s">
        <v>656</v>
      </c>
      <c r="S198" s="5" t="str">
        <f>VLOOKUP(G198,[1]fc!$B$2:$D$707,3,0)</f>
        <v>24CS2260F</v>
      </c>
      <c r="T198" s="5" t="str">
        <f>VLOOKUP(G198,[1]fc!$B$2:$F$707,5,0)</f>
        <v>FOUNDATIONS OF CLOUD-NATIVE COMPUTING &amp; DEVOPS</v>
      </c>
      <c r="U198" s="14" t="s">
        <v>664</v>
      </c>
      <c r="V198" s="15" t="s">
        <v>665</v>
      </c>
      <c r="W198" s="15" t="s">
        <v>666</v>
      </c>
      <c r="X198" s="15" t="s">
        <v>667</v>
      </c>
      <c r="Y198" s="15" t="s">
        <v>668</v>
      </c>
      <c r="Z198" s="24" t="s">
        <v>669</v>
      </c>
      <c r="AA198" s="1" t="s">
        <v>672</v>
      </c>
      <c r="AB198" s="1" t="s">
        <v>673</v>
      </c>
      <c r="AC198" s="5"/>
      <c r="AD198" s="5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</row>
    <row r="199" spans="1:52" x14ac:dyDescent="0.3">
      <c r="A199" s="16">
        <v>198</v>
      </c>
      <c r="B199" s="17">
        <v>46177.672430555554</v>
      </c>
      <c r="C199" s="17">
        <v>46177.673182870371</v>
      </c>
      <c r="D199" s="18" t="s">
        <v>507</v>
      </c>
      <c r="E199" s="18" t="s">
        <v>508</v>
      </c>
      <c r="F199" s="17"/>
      <c r="G199" s="19">
        <v>2400030395</v>
      </c>
      <c r="H199" s="18" t="s">
        <v>509</v>
      </c>
      <c r="I199" s="18" t="s">
        <v>12</v>
      </c>
      <c r="J199" s="18" t="s">
        <v>13</v>
      </c>
      <c r="K199" s="18" t="s">
        <v>16</v>
      </c>
      <c r="L199" s="18" t="s">
        <v>14</v>
      </c>
      <c r="M199" s="20">
        <v>8.6199999999999992</v>
      </c>
      <c r="N199" s="18" t="s">
        <v>648</v>
      </c>
      <c r="O199" s="11">
        <v>0</v>
      </c>
      <c r="P199" s="21">
        <v>0</v>
      </c>
      <c r="Q199" s="5" t="s">
        <v>615</v>
      </c>
      <c r="R199" s="13" t="s">
        <v>656</v>
      </c>
      <c r="S199" s="5" t="str">
        <f>VLOOKUP(G199,[1]fc!$B$2:$D$707,3,0)</f>
        <v>24CS2239F</v>
      </c>
      <c r="T199" s="5" t="str">
        <f>VLOOKUP(G199,[1]fc!$B$2:$F$707,5,0)</f>
        <v>SOFTWARE VERIFICATION AND VALIDATION</v>
      </c>
      <c r="U199" s="1" t="s">
        <v>664</v>
      </c>
      <c r="V199" s="1" t="s">
        <v>665</v>
      </c>
      <c r="W199" s="1" t="s">
        <v>666</v>
      </c>
      <c r="X199" s="1" t="s">
        <v>667</v>
      </c>
      <c r="Y199" s="14" t="s">
        <v>672</v>
      </c>
      <c r="Z199" s="24" t="s">
        <v>673</v>
      </c>
      <c r="AA199" s="1" t="s">
        <v>675</v>
      </c>
      <c r="AB199" s="1" t="s">
        <v>676</v>
      </c>
      <c r="AC199" s="5"/>
      <c r="AD199" s="5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</row>
    <row r="200" spans="1:52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</row>
    <row r="201" spans="1:52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</row>
    <row r="202" spans="1:52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</row>
    <row r="203" spans="1:52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</row>
    <row r="204" spans="1:52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</row>
    <row r="205" spans="1:52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</row>
    <row r="206" spans="1:52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</row>
    <row r="207" spans="1:52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</row>
    <row r="208" spans="1:52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</row>
    <row r="209" spans="1:52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</row>
    <row r="210" spans="1:52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</row>
    <row r="211" spans="1:52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</row>
    <row r="212" spans="1:52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</row>
    <row r="213" spans="1:52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</row>
    <row r="214" spans="1:52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</row>
    <row r="215" spans="1:52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</row>
    <row r="216" spans="1:52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</row>
    <row r="217" spans="1:52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</row>
    <row r="218" spans="1:52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</row>
    <row r="219" spans="1:52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</row>
    <row r="220" spans="1:52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</row>
    <row r="221" spans="1:52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</row>
    <row r="222" spans="1:52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</row>
    <row r="223" spans="1:52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</row>
    <row r="224" spans="1:52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</row>
    <row r="225" spans="1:52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</row>
    <row r="226" spans="1:52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</row>
    <row r="227" spans="1:52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</row>
    <row r="228" spans="1:52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</row>
    <row r="229" spans="1:52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</row>
    <row r="230" spans="1:52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</row>
    <row r="231" spans="1:52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</row>
    <row r="232" spans="1:52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</row>
    <row r="233" spans="1:52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</row>
    <row r="234" spans="1:52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</row>
    <row r="235" spans="1:52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</row>
    <row r="236" spans="1:52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</row>
    <row r="237" spans="1:52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</row>
    <row r="238" spans="1:52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</row>
    <row r="239" spans="1:52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</row>
    <row r="240" spans="1:52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</row>
    <row r="241" spans="1:44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</row>
    <row r="242" spans="1:44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</row>
    <row r="243" spans="1:44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</row>
    <row r="244" spans="1:44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</row>
    <row r="245" spans="1:44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</row>
    <row r="246" spans="1:44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</row>
    <row r="247" spans="1:44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</row>
    <row r="248" spans="1:44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</row>
    <row r="249" spans="1:44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</row>
    <row r="250" spans="1:44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</row>
    <row r="251" spans="1:44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</row>
    <row r="252" spans="1:44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</row>
    <row r="253" spans="1:44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</row>
    <row r="254" spans="1:44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</row>
    <row r="255" spans="1:44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</row>
    <row r="256" spans="1:44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</row>
    <row r="257" spans="1:44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</row>
    <row r="258" spans="1:44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</row>
    <row r="259" spans="1:44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</row>
    <row r="260" spans="1:44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</row>
    <row r="261" spans="1:44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</row>
    <row r="262" spans="1:44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</row>
    <row r="263" spans="1:44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</row>
    <row r="264" spans="1:44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</row>
    <row r="265" spans="1:44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</row>
  </sheetData>
  <autoFilter ref="A1:AB199" xr:uid="{87861010-97FE-AE40-8EC5-CD96D5D1496C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60CD-AA85-9A4C-80A9-11008A6D9D31}">
  <dimension ref="A1:C14"/>
  <sheetViews>
    <sheetView tabSelected="1" workbookViewId="0">
      <selection activeCell="C2" sqref="C2"/>
    </sheetView>
  </sheetViews>
  <sheetFormatPr baseColWidth="10" defaultRowHeight="15" x14ac:dyDescent="0.2"/>
  <cols>
    <col min="2" max="2" width="45.6640625" customWidth="1"/>
    <col min="3" max="3" width="84" customWidth="1"/>
  </cols>
  <sheetData>
    <row r="1" spans="1:3" ht="49" customHeight="1" x14ac:dyDescent="0.2">
      <c r="A1" s="41" t="s">
        <v>678</v>
      </c>
      <c r="B1" s="42"/>
      <c r="C1" s="43"/>
    </row>
    <row r="2" spans="1:3" ht="33" customHeight="1" x14ac:dyDescent="0.2">
      <c r="A2" s="31">
        <v>1</v>
      </c>
      <c r="B2" s="32" t="s">
        <v>6</v>
      </c>
      <c r="C2" s="40" t="s">
        <v>683</v>
      </c>
    </row>
    <row r="3" spans="1:3" ht="35" customHeight="1" x14ac:dyDescent="0.2">
      <c r="A3" s="31">
        <v>2</v>
      </c>
      <c r="B3" s="32" t="s">
        <v>7</v>
      </c>
      <c r="C3" s="30" t="e">
        <f>VLOOKUP(C2,'198'!G2:H199,2,0)</f>
        <v>#N/A</v>
      </c>
    </row>
    <row r="4" spans="1:3" ht="48" customHeight="1" x14ac:dyDescent="0.2">
      <c r="A4" s="31">
        <v>3</v>
      </c>
      <c r="B4" s="32" t="s">
        <v>8</v>
      </c>
      <c r="C4" s="30" t="e">
        <f>VLOOKUP(C2,'198'!G2:I199,3,0)</f>
        <v>#N/A</v>
      </c>
    </row>
    <row r="5" spans="1:3" ht="75" x14ac:dyDescent="0.2">
      <c r="A5" s="31">
        <v>4</v>
      </c>
      <c r="B5" s="33" t="s">
        <v>9</v>
      </c>
      <c r="C5" s="30" t="e">
        <f>VLOOKUP(C2,'198'!G2:J199,4,0)</f>
        <v>#N/A</v>
      </c>
    </row>
    <row r="6" spans="1:3" ht="50" x14ac:dyDescent="0.2">
      <c r="A6" s="34">
        <v>5</v>
      </c>
      <c r="B6" s="35" t="s">
        <v>10</v>
      </c>
      <c r="C6" s="30" t="e">
        <f>VLOOKUP(C2,'198'!G2:K199,5,0)</f>
        <v>#N/A</v>
      </c>
    </row>
    <row r="7" spans="1:3" ht="43" customHeight="1" x14ac:dyDescent="0.2">
      <c r="A7" s="34">
        <v>6</v>
      </c>
      <c r="B7" s="36" t="s">
        <v>626</v>
      </c>
      <c r="C7" s="30" t="e">
        <f>VLOOKUP(C2,'198'!G2:N199,8,0)</f>
        <v>#N/A</v>
      </c>
    </row>
    <row r="8" spans="1:3" ht="47" customHeight="1" x14ac:dyDescent="0.2">
      <c r="A8" s="34">
        <v>7</v>
      </c>
      <c r="B8" s="36" t="s">
        <v>679</v>
      </c>
      <c r="C8" s="30" t="e">
        <f>VLOOKUP(C2,'198'!G2:M199,7,0)</f>
        <v>#N/A</v>
      </c>
    </row>
    <row r="9" spans="1:3" ht="49" customHeight="1" x14ac:dyDescent="0.2">
      <c r="A9" s="34">
        <v>8</v>
      </c>
      <c r="B9" s="36" t="s">
        <v>653</v>
      </c>
      <c r="C9" s="30" t="e">
        <f>VLOOKUP(C2,'198'!G2:O199,9,0)</f>
        <v>#N/A</v>
      </c>
    </row>
    <row r="10" spans="1:3" ht="47" customHeight="1" x14ac:dyDescent="0.2">
      <c r="A10" s="37">
        <v>10</v>
      </c>
      <c r="B10" s="38" t="s">
        <v>655</v>
      </c>
      <c r="C10" s="30" t="e">
        <f>VLOOKUP(C2,'198'!G2:Q199,11,0)</f>
        <v>#N/A</v>
      </c>
    </row>
    <row r="11" spans="1:3" ht="52" customHeight="1" x14ac:dyDescent="0.2">
      <c r="A11" s="37">
        <v>11</v>
      </c>
      <c r="B11" s="38" t="s">
        <v>657</v>
      </c>
      <c r="C11" s="30" t="e">
        <f>VLOOKUP(C2,'198'!G2:R199,12,0)</f>
        <v>#N/A</v>
      </c>
    </row>
    <row r="12" spans="1:3" ht="50" x14ac:dyDescent="0.2">
      <c r="A12" s="37">
        <v>12</v>
      </c>
      <c r="B12" s="39" t="s">
        <v>680</v>
      </c>
      <c r="C12" s="30" t="e">
        <f>VLOOKUP(C2,'198'!G2:S199,13,0)</f>
        <v>#N/A</v>
      </c>
    </row>
    <row r="13" spans="1:3" ht="50" x14ac:dyDescent="0.2">
      <c r="A13" s="37">
        <v>13</v>
      </c>
      <c r="B13" s="39" t="s">
        <v>681</v>
      </c>
      <c r="C13" s="30" t="e">
        <f>VLOOKUP(C2,'198'!G2:T199,14,0)</f>
        <v>#N/A</v>
      </c>
    </row>
    <row r="14" spans="1:3" ht="79" customHeight="1" x14ac:dyDescent="0.2">
      <c r="A14" s="44" t="s">
        <v>682</v>
      </c>
      <c r="B14" s="45"/>
      <c r="C14" s="45"/>
    </row>
  </sheetData>
  <sheetProtection algorithmName="SHA-512" hashValue="UjEKIXzX1GuzydDMR0vVjNRqjg+ndQCEsDtnIWI4ZBBCH2jfjMx8uo3WpjPcV6GWWijEZABiVKcV104BwX0jfw==" saltValue="qI35xlr+tQe/XjeJ5TJOpA==" spinCount="100000" sheet="1" objects="1" scenarios="1"/>
  <mergeCells count="2">
    <mergeCell ref="A1:C1"/>
    <mergeCell ref="A14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198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 Harsha Sanda</cp:lastModifiedBy>
  <dcterms:created xsi:type="dcterms:W3CDTF">2026-04-10T10:29:24Z</dcterms:created>
  <dcterms:modified xsi:type="dcterms:W3CDTF">2026-05-15T08:20:57Z</dcterms:modified>
</cp:coreProperties>
</file>